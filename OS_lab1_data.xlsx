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0" documentId="8_{DCFCA53D-9544-4015-B2A9-3B6F913C1E0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8" i="1" l="1"/>
  <c r="W67" i="1"/>
  <c r="W66" i="1"/>
  <c r="P129" i="1"/>
  <c r="P128" i="1"/>
  <c r="P127" i="1"/>
  <c r="P126" i="1"/>
  <c r="P125" i="1"/>
  <c r="P124" i="1"/>
  <c r="I129" i="1"/>
  <c r="I128" i="1"/>
  <c r="I127" i="1"/>
  <c r="I126" i="1"/>
  <c r="I125" i="1"/>
  <c r="I124" i="1"/>
  <c r="B129" i="1"/>
  <c r="B128" i="1"/>
  <c r="B127" i="1"/>
  <c r="B126" i="1"/>
  <c r="B125" i="1"/>
  <c r="B124" i="1"/>
</calcChain>
</file>

<file path=xl/sharedStrings.xml><?xml version="1.0" encoding="utf-8"?>
<sst xmlns="http://schemas.openxmlformats.org/spreadsheetml/2006/main" count="884" uniqueCount="33">
  <si>
    <t>mjerenje</t>
  </si>
  <si>
    <t>datoteka</t>
  </si>
  <si>
    <t>buffer(B)</t>
  </si>
  <si>
    <t>metoda</t>
  </si>
  <si>
    <t>vrijeme(s)</t>
  </si>
  <si>
    <t>mala</t>
  </si>
  <si>
    <t>C</t>
  </si>
  <si>
    <t>cp</t>
  </si>
  <si>
    <t>srednja</t>
  </si>
  <si>
    <t>velika</t>
  </si>
  <si>
    <t>sistemski poziv</t>
  </si>
  <si>
    <t>Arsr</t>
  </si>
  <si>
    <t>1B datoteka</t>
  </si>
  <si>
    <t>512B datoteka</t>
  </si>
  <si>
    <t>1024B datoteka</t>
  </si>
  <si>
    <t>1B buffer, 1B datoteka, C</t>
  </si>
  <si>
    <t>512B buffer, 1B datoteka, C</t>
  </si>
  <si>
    <t>1024B buffer, 1B datoteka, C</t>
  </si>
  <si>
    <t>1B buffer, 512B datoteka, C</t>
  </si>
  <si>
    <t>512B buffer, 512B datoteka, C</t>
  </si>
  <si>
    <t>1024B buffer, 512B datoteka, C</t>
  </si>
  <si>
    <t>1B buffer, 1024B datoteka, C</t>
  </si>
  <si>
    <t>512B buffer, 1024B datoteka, C</t>
  </si>
  <si>
    <t>1024B buffer, 1024B datoteka, C</t>
  </si>
  <si>
    <t>1B buffer, 1B datoteka, sistemski pozivi</t>
  </si>
  <si>
    <t>512B buffer, 1B datoteka, sistemski pozivi</t>
  </si>
  <si>
    <t>1024B buffer, 1B datoteka, sistemski pozivi</t>
  </si>
  <si>
    <t>1B buffer, 512B datoteka, sistemski pozivi</t>
  </si>
  <si>
    <t>512B buffer, 512B datoteka, sistemski pozivi</t>
  </si>
  <si>
    <t>1024B buffer, 512B datoteka, sistemski pozivi</t>
  </si>
  <si>
    <t>1B buffer, 1024B datoteka, sistemski pozivi</t>
  </si>
  <si>
    <t>512B buffer, 1024B datoteka, sistemski pozivi</t>
  </si>
  <si>
    <t>1024B buffer, 1024B datoteka, sistemski pozivi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</si>
</sst>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1" fillId="4" borderId="0" xfId="0" applyFont="1" applyFill="1"/>
    <xf numFmtId="0" fontId="1" fillId="3" borderId="0" xfId="0" applyFont="1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9"/>
  <sheetViews>
    <sheetView tabSelected="1" topLeftCell="A101" workbookViewId="0">
      <selection sqref="A1:E121"/>
    </sheetView>
  </sheetViews>
  <sheetFormatPr defaultRowHeight="15"/>
  <cols>
    <col min="1" max="1" width="38.7109375" style="1" bestFit="1" customWidth="1"/>
    <col min="2" max="2" width="12.5703125" style="1" bestFit="1" customWidth="1"/>
    <col min="3" max="3" width="8.7109375" style="1" bestFit="1" customWidth="1"/>
    <col min="4" max="4" width="14.28515625" bestFit="1" customWidth="1"/>
    <col min="5" max="5" width="9.28515625" bestFit="1" customWidth="1"/>
    <col min="8" max="8" width="40.85546875" style="1" bestFit="1" customWidth="1"/>
    <col min="9" max="10" width="9.140625" style="1"/>
    <col min="11" max="11" width="14.28515625" bestFit="1" customWidth="1"/>
    <col min="15" max="15" width="42" style="1" bestFit="1" customWidth="1"/>
    <col min="16" max="17" width="9.140625" style="1"/>
    <col min="18" max="18" width="14.28515625" bestFit="1" customWidth="1"/>
    <col min="22" max="22" width="42" style="1" bestFit="1" customWidth="1"/>
    <col min="23" max="23" width="8.7109375" style="1" bestFit="1" customWidth="1"/>
    <col min="24" max="24" width="9.140625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H1" s="2" t="s">
        <v>0</v>
      </c>
      <c r="I1" s="2" t="s">
        <v>1</v>
      </c>
      <c r="J1" s="2" t="s">
        <v>2</v>
      </c>
      <c r="K1" s="2" t="s">
        <v>3</v>
      </c>
      <c r="L1" s="2" t="s">
        <v>4</v>
      </c>
      <c r="O1" s="2" t="s">
        <v>0</v>
      </c>
      <c r="P1" s="2" t="s">
        <v>1</v>
      </c>
      <c r="Q1" s="2" t="s">
        <v>2</v>
      </c>
      <c r="R1" s="2" t="s">
        <v>3</v>
      </c>
      <c r="S1" s="2" t="s">
        <v>4</v>
      </c>
      <c r="V1" s="2" t="s">
        <v>0</v>
      </c>
      <c r="W1" s="2" t="s">
        <v>1</v>
      </c>
      <c r="X1" s="2" t="s">
        <v>3</v>
      </c>
      <c r="Y1" s="2" t="s">
        <v>4</v>
      </c>
    </row>
    <row r="2" spans="1:25">
      <c r="A2" s="3">
        <v>1</v>
      </c>
      <c r="B2" s="3" t="s">
        <v>5</v>
      </c>
      <c r="C2" s="3">
        <v>1</v>
      </c>
      <c r="D2" s="4" t="s">
        <v>6</v>
      </c>
      <c r="E2" s="4">
        <v>2E-3</v>
      </c>
      <c r="H2" s="3">
        <v>1</v>
      </c>
      <c r="I2" s="3" t="s">
        <v>5</v>
      </c>
      <c r="J2" s="3">
        <v>512</v>
      </c>
      <c r="K2" s="4" t="s">
        <v>6</v>
      </c>
      <c r="L2" s="9">
        <v>7.0000000000000001E-3</v>
      </c>
      <c r="O2" s="3">
        <v>1</v>
      </c>
      <c r="P2" s="3" t="s">
        <v>5</v>
      </c>
      <c r="Q2" s="3">
        <v>1024</v>
      </c>
      <c r="R2" s="4" t="s">
        <v>6</v>
      </c>
      <c r="S2" s="4">
        <v>4.0000000000000001E-3</v>
      </c>
      <c r="V2" s="5">
        <v>1</v>
      </c>
      <c r="W2" s="5" t="s">
        <v>5</v>
      </c>
      <c r="X2" s="5" t="s">
        <v>7</v>
      </c>
      <c r="Y2" s="6">
        <v>2E-3</v>
      </c>
    </row>
    <row r="3" spans="1:25">
      <c r="A3" s="3">
        <v>1</v>
      </c>
      <c r="B3" s="3" t="s">
        <v>8</v>
      </c>
      <c r="C3" s="3">
        <v>1</v>
      </c>
      <c r="D3" s="4" t="s">
        <v>6</v>
      </c>
      <c r="E3" s="4">
        <v>5.0220000000000002</v>
      </c>
      <c r="H3" s="3">
        <v>1</v>
      </c>
      <c r="I3" s="3" t="s">
        <v>8</v>
      </c>
      <c r="J3" s="3">
        <v>512</v>
      </c>
      <c r="K3" s="4" t="s">
        <v>6</v>
      </c>
      <c r="L3" s="9">
        <v>1.0169999999999999</v>
      </c>
      <c r="O3" s="3">
        <v>1</v>
      </c>
      <c r="P3" s="3" t="s">
        <v>8</v>
      </c>
      <c r="Q3" s="3">
        <v>1024</v>
      </c>
      <c r="R3" s="4" t="s">
        <v>6</v>
      </c>
      <c r="S3" s="9">
        <v>0.93500000000000005</v>
      </c>
      <c r="V3" s="5">
        <v>1</v>
      </c>
      <c r="W3" s="5" t="s">
        <v>8</v>
      </c>
      <c r="X3" s="5" t="s">
        <v>7</v>
      </c>
      <c r="Y3" s="9">
        <v>0.92300000000000004</v>
      </c>
    </row>
    <row r="4" spans="1:25">
      <c r="A4" s="3">
        <v>1</v>
      </c>
      <c r="B4" s="3" t="s">
        <v>9</v>
      </c>
      <c r="C4" s="3">
        <v>1</v>
      </c>
      <c r="D4" s="4" t="s">
        <v>6</v>
      </c>
      <c r="E4" s="4">
        <v>53.563000000000002</v>
      </c>
      <c r="H4" s="3">
        <v>1</v>
      </c>
      <c r="I4" s="3" t="s">
        <v>9</v>
      </c>
      <c r="J4" s="3">
        <v>512</v>
      </c>
      <c r="K4" s="4" t="s">
        <v>6</v>
      </c>
      <c r="L4" s="4">
        <v>15.595000000000001</v>
      </c>
      <c r="O4" s="3">
        <v>1</v>
      </c>
      <c r="P4" s="3" t="s">
        <v>9</v>
      </c>
      <c r="Q4" s="3">
        <v>1024</v>
      </c>
      <c r="R4" s="4" t="s">
        <v>6</v>
      </c>
      <c r="S4" s="9">
        <v>15.714</v>
      </c>
      <c r="V4" s="5">
        <v>1</v>
      </c>
      <c r="W4" s="5" t="s">
        <v>9</v>
      </c>
      <c r="X4" s="5" t="s">
        <v>7</v>
      </c>
      <c r="Y4" s="6">
        <v>13.571</v>
      </c>
    </row>
    <row r="5" spans="1:25">
      <c r="A5" s="5">
        <v>1</v>
      </c>
      <c r="B5" s="5" t="s">
        <v>5</v>
      </c>
      <c r="C5" s="5">
        <v>1</v>
      </c>
      <c r="D5" s="6" t="s">
        <v>10</v>
      </c>
      <c r="E5" s="9">
        <v>0.01</v>
      </c>
      <c r="H5" s="5">
        <v>1</v>
      </c>
      <c r="I5" s="5" t="s">
        <v>5</v>
      </c>
      <c r="J5" s="5">
        <v>512</v>
      </c>
      <c r="K5" s="6" t="s">
        <v>10</v>
      </c>
      <c r="L5" s="6">
        <v>3.0000000000000001E-3</v>
      </c>
      <c r="O5" s="5">
        <v>1</v>
      </c>
      <c r="P5" s="5" t="s">
        <v>5</v>
      </c>
      <c r="Q5" s="5">
        <v>1024</v>
      </c>
      <c r="R5" s="6" t="s">
        <v>10</v>
      </c>
      <c r="S5" s="6">
        <v>3.0000000000000001E-3</v>
      </c>
      <c r="V5" s="3">
        <v>2</v>
      </c>
      <c r="W5" s="3" t="s">
        <v>5</v>
      </c>
      <c r="X5" s="3" t="s">
        <v>7</v>
      </c>
      <c r="Y5" s="8">
        <v>2E-3</v>
      </c>
    </row>
    <row r="6" spans="1:25">
      <c r="A6" s="5">
        <v>1</v>
      </c>
      <c r="B6" s="5" t="s">
        <v>8</v>
      </c>
      <c r="C6" s="5">
        <v>1</v>
      </c>
      <c r="D6" s="6" t="s">
        <v>10</v>
      </c>
      <c r="E6" s="6">
        <v>100.726</v>
      </c>
      <c r="H6" s="5">
        <v>1</v>
      </c>
      <c r="I6" s="5" t="s">
        <v>8</v>
      </c>
      <c r="J6" s="5">
        <v>512</v>
      </c>
      <c r="K6" s="6" t="s">
        <v>10</v>
      </c>
      <c r="L6" s="9">
        <v>1.0620000000000001</v>
      </c>
      <c r="O6" s="5">
        <v>1</v>
      </c>
      <c r="P6" s="5" t="s">
        <v>8</v>
      </c>
      <c r="Q6" s="5">
        <v>1024</v>
      </c>
      <c r="R6" s="6" t="s">
        <v>10</v>
      </c>
      <c r="S6" s="9">
        <v>1.0029999999999999</v>
      </c>
      <c r="V6" s="3">
        <v>2</v>
      </c>
      <c r="W6" s="3" t="s">
        <v>8</v>
      </c>
      <c r="X6" s="3" t="s">
        <v>7</v>
      </c>
      <c r="Y6" s="4">
        <v>0.434</v>
      </c>
    </row>
    <row r="7" spans="1:25">
      <c r="A7" s="5">
        <v>1</v>
      </c>
      <c r="B7" s="5" t="s">
        <v>9</v>
      </c>
      <c r="C7" s="5">
        <v>1</v>
      </c>
      <c r="D7" s="6" t="s">
        <v>10</v>
      </c>
      <c r="E7" s="6">
        <v>1011.8390000000001</v>
      </c>
      <c r="H7" s="5">
        <v>1</v>
      </c>
      <c r="I7" s="5" t="s">
        <v>9</v>
      </c>
      <c r="J7" s="5">
        <v>512</v>
      </c>
      <c r="K7" s="6" t="s">
        <v>10</v>
      </c>
      <c r="L7" s="6">
        <v>17.614000000000001</v>
      </c>
      <c r="O7" s="5">
        <v>1</v>
      </c>
      <c r="P7" s="5" t="s">
        <v>9</v>
      </c>
      <c r="Q7" s="5">
        <v>1024</v>
      </c>
      <c r="R7" s="6" t="s">
        <v>10</v>
      </c>
      <c r="S7" s="9">
        <v>14.978</v>
      </c>
      <c r="V7" s="3">
        <v>2</v>
      </c>
      <c r="W7" s="3" t="s">
        <v>9</v>
      </c>
      <c r="X7" s="3" t="s">
        <v>7</v>
      </c>
      <c r="Y7" s="4">
        <v>13.64</v>
      </c>
    </row>
    <row r="8" spans="1:25">
      <c r="A8" s="3">
        <v>2</v>
      </c>
      <c r="B8" s="3" t="s">
        <v>5</v>
      </c>
      <c r="C8" s="3">
        <v>1</v>
      </c>
      <c r="D8" s="4" t="s">
        <v>6</v>
      </c>
      <c r="E8" s="4">
        <v>1E-3</v>
      </c>
      <c r="H8" s="3">
        <v>2</v>
      </c>
      <c r="I8" s="3" t="s">
        <v>5</v>
      </c>
      <c r="J8" s="3">
        <v>512</v>
      </c>
      <c r="K8" s="4" t="s">
        <v>6</v>
      </c>
      <c r="L8" s="4">
        <v>2E-3</v>
      </c>
      <c r="O8" s="3">
        <v>2</v>
      </c>
      <c r="P8" s="3" t="s">
        <v>5</v>
      </c>
      <c r="Q8" s="3">
        <v>1024</v>
      </c>
      <c r="R8" s="4" t="s">
        <v>6</v>
      </c>
      <c r="S8" s="4">
        <v>2E-3</v>
      </c>
      <c r="V8" s="5">
        <v>3</v>
      </c>
      <c r="W8" s="5" t="s">
        <v>5</v>
      </c>
      <c r="X8" s="5" t="s">
        <v>7</v>
      </c>
      <c r="Y8" s="6">
        <v>1E-3</v>
      </c>
    </row>
    <row r="9" spans="1:25">
      <c r="A9" s="3">
        <v>2</v>
      </c>
      <c r="B9" s="3" t="s">
        <v>8</v>
      </c>
      <c r="C9" s="3">
        <v>1</v>
      </c>
      <c r="D9" s="4" t="s">
        <v>6</v>
      </c>
      <c r="E9" s="4">
        <v>4.5880000000000001</v>
      </c>
      <c r="H9" s="3">
        <v>2</v>
      </c>
      <c r="I9" s="3" t="s">
        <v>8</v>
      </c>
      <c r="J9" s="3">
        <v>512</v>
      </c>
      <c r="K9" s="4" t="s">
        <v>6</v>
      </c>
      <c r="L9" s="4">
        <v>0.46200000000000002</v>
      </c>
      <c r="O9" s="3">
        <v>2</v>
      </c>
      <c r="P9" s="3" t="s">
        <v>8</v>
      </c>
      <c r="Q9" s="3">
        <v>1024</v>
      </c>
      <c r="R9" s="4" t="s">
        <v>6</v>
      </c>
      <c r="S9" s="4">
        <v>0.54700000000000004</v>
      </c>
      <c r="V9" s="5">
        <v>3</v>
      </c>
      <c r="W9" s="5" t="s">
        <v>8</v>
      </c>
      <c r="X9" s="5" t="s">
        <v>7</v>
      </c>
      <c r="Y9" s="6">
        <v>0.433</v>
      </c>
    </row>
    <row r="10" spans="1:25">
      <c r="A10" s="3">
        <v>2</v>
      </c>
      <c r="B10" s="3" t="s">
        <v>9</v>
      </c>
      <c r="C10" s="3">
        <v>1</v>
      </c>
      <c r="D10" s="4" t="s">
        <v>6</v>
      </c>
      <c r="E10" s="4">
        <v>53.335999999999999</v>
      </c>
      <c r="H10" s="3">
        <v>2</v>
      </c>
      <c r="I10" s="3" t="s">
        <v>9</v>
      </c>
      <c r="J10" s="3">
        <v>512</v>
      </c>
      <c r="K10" s="4" t="s">
        <v>6</v>
      </c>
      <c r="L10" s="4">
        <v>14.282999999999999</v>
      </c>
      <c r="O10" s="3">
        <v>2</v>
      </c>
      <c r="P10" s="3" t="s">
        <v>9</v>
      </c>
      <c r="Q10" s="3">
        <v>1024</v>
      </c>
      <c r="R10" s="4" t="s">
        <v>6</v>
      </c>
      <c r="S10" s="4">
        <v>19.384</v>
      </c>
      <c r="V10" s="5">
        <v>3</v>
      </c>
      <c r="W10" s="5" t="s">
        <v>9</v>
      </c>
      <c r="X10" s="5" t="s">
        <v>7</v>
      </c>
      <c r="Y10" s="6">
        <v>13.114000000000001</v>
      </c>
    </row>
    <row r="11" spans="1:25">
      <c r="A11" s="5">
        <v>2</v>
      </c>
      <c r="B11" s="5" t="s">
        <v>5</v>
      </c>
      <c r="C11" s="5">
        <v>1</v>
      </c>
      <c r="D11" s="6" t="s">
        <v>10</v>
      </c>
      <c r="E11" s="6">
        <v>1E-3</v>
      </c>
      <c r="H11" s="5">
        <v>2</v>
      </c>
      <c r="I11" s="5" t="s">
        <v>5</v>
      </c>
      <c r="J11" s="5">
        <v>512</v>
      </c>
      <c r="K11" s="6" t="s">
        <v>10</v>
      </c>
      <c r="L11" s="6">
        <v>2E-3</v>
      </c>
      <c r="O11" s="5">
        <v>2</v>
      </c>
      <c r="P11" s="5" t="s">
        <v>5</v>
      </c>
      <c r="Q11" s="5">
        <v>1024</v>
      </c>
      <c r="R11" s="6" t="s">
        <v>10</v>
      </c>
      <c r="S11" s="6">
        <v>2E-3</v>
      </c>
      <c r="V11" s="3">
        <v>4</v>
      </c>
      <c r="W11" s="3" t="s">
        <v>5</v>
      </c>
      <c r="X11" s="3" t="s">
        <v>7</v>
      </c>
      <c r="Y11" s="8">
        <v>2E-3</v>
      </c>
    </row>
    <row r="12" spans="1:25">
      <c r="A12" s="5">
        <v>2</v>
      </c>
      <c r="B12" s="5" t="s">
        <v>8</v>
      </c>
      <c r="C12" s="5">
        <v>1</v>
      </c>
      <c r="D12" s="6" t="s">
        <v>10</v>
      </c>
      <c r="E12" s="6">
        <v>100.898</v>
      </c>
      <c r="H12" s="5">
        <v>2</v>
      </c>
      <c r="I12" s="5" t="s">
        <v>8</v>
      </c>
      <c r="J12" s="5">
        <v>512</v>
      </c>
      <c r="K12" s="6" t="s">
        <v>10</v>
      </c>
      <c r="L12" s="6">
        <v>0.54200000000000004</v>
      </c>
      <c r="O12" s="5">
        <v>2</v>
      </c>
      <c r="P12" s="5" t="s">
        <v>8</v>
      </c>
      <c r="Q12" s="5">
        <v>1024</v>
      </c>
      <c r="R12" s="6" t="s">
        <v>10</v>
      </c>
      <c r="S12" s="6">
        <v>0.48599999999999999</v>
      </c>
      <c r="V12" s="3">
        <v>4</v>
      </c>
      <c r="W12" s="3" t="s">
        <v>8</v>
      </c>
      <c r="X12" s="3" t="s">
        <v>7</v>
      </c>
      <c r="Y12" s="4">
        <v>0.435</v>
      </c>
    </row>
    <row r="13" spans="1:25">
      <c r="A13" s="5">
        <v>2</v>
      </c>
      <c r="B13" s="5" t="s">
        <v>9</v>
      </c>
      <c r="C13" s="5">
        <v>1</v>
      </c>
      <c r="D13" s="6" t="s">
        <v>10</v>
      </c>
      <c r="E13" s="6">
        <v>1022.2190000000001</v>
      </c>
      <c r="H13" s="5">
        <v>2</v>
      </c>
      <c r="I13" s="5" t="s">
        <v>9</v>
      </c>
      <c r="J13" s="5">
        <v>512</v>
      </c>
      <c r="K13" s="6" t="s">
        <v>10</v>
      </c>
      <c r="L13" s="6">
        <v>19.77</v>
      </c>
      <c r="O13" s="5">
        <v>2</v>
      </c>
      <c r="P13" s="5" t="s">
        <v>9</v>
      </c>
      <c r="Q13" s="5">
        <v>1024</v>
      </c>
      <c r="R13" s="6" t="s">
        <v>10</v>
      </c>
      <c r="S13" s="6">
        <v>18.911000000000001</v>
      </c>
      <c r="V13" s="3">
        <v>4</v>
      </c>
      <c r="W13" s="3" t="s">
        <v>9</v>
      </c>
      <c r="X13" s="3" t="s">
        <v>7</v>
      </c>
      <c r="Y13" s="4">
        <v>14.125999999999999</v>
      </c>
    </row>
    <row r="14" spans="1:25">
      <c r="A14" s="3">
        <v>3</v>
      </c>
      <c r="B14" s="3" t="s">
        <v>5</v>
      </c>
      <c r="C14" s="3">
        <v>1</v>
      </c>
      <c r="D14" s="4" t="s">
        <v>6</v>
      </c>
      <c r="E14" s="4">
        <v>2E-3</v>
      </c>
      <c r="H14" s="3">
        <v>3</v>
      </c>
      <c r="I14" s="3" t="s">
        <v>5</v>
      </c>
      <c r="J14" s="3">
        <v>512</v>
      </c>
      <c r="K14" s="4" t="s">
        <v>6</v>
      </c>
      <c r="L14" s="4">
        <v>1E-3</v>
      </c>
      <c r="O14" s="3">
        <v>3</v>
      </c>
      <c r="P14" s="3" t="s">
        <v>5</v>
      </c>
      <c r="Q14" s="3">
        <v>1024</v>
      </c>
      <c r="R14" s="4" t="s">
        <v>6</v>
      </c>
      <c r="S14" s="4">
        <v>1E-3</v>
      </c>
      <c r="V14" s="5">
        <v>5</v>
      </c>
      <c r="W14" s="5" t="s">
        <v>5</v>
      </c>
      <c r="X14" s="5" t="s">
        <v>7</v>
      </c>
      <c r="Y14" s="6">
        <v>1E-3</v>
      </c>
    </row>
    <row r="15" spans="1:25">
      <c r="A15" s="3">
        <v>3</v>
      </c>
      <c r="B15" s="3" t="s">
        <v>8</v>
      </c>
      <c r="C15" s="3">
        <v>1</v>
      </c>
      <c r="D15" s="4" t="s">
        <v>6</v>
      </c>
      <c r="E15" s="4">
        <v>4.4800000000000004</v>
      </c>
      <c r="H15" s="3">
        <v>3</v>
      </c>
      <c r="I15" s="3" t="s">
        <v>8</v>
      </c>
      <c r="J15" s="3">
        <v>512</v>
      </c>
      <c r="K15" s="4" t="s">
        <v>6</v>
      </c>
      <c r="L15" s="4">
        <v>0.54700000000000004</v>
      </c>
      <c r="O15" s="3">
        <v>3</v>
      </c>
      <c r="P15" s="3" t="s">
        <v>8</v>
      </c>
      <c r="Q15" s="3">
        <v>1024</v>
      </c>
      <c r="R15" s="4" t="s">
        <v>6</v>
      </c>
      <c r="S15" s="4">
        <v>0.48399999999999999</v>
      </c>
      <c r="V15" s="5">
        <v>5</v>
      </c>
      <c r="W15" s="5" t="s">
        <v>8</v>
      </c>
      <c r="X15" s="5" t="s">
        <v>7</v>
      </c>
      <c r="Y15" s="6">
        <v>0.43</v>
      </c>
    </row>
    <row r="16" spans="1:25">
      <c r="A16" s="3">
        <v>3</v>
      </c>
      <c r="B16" s="3" t="s">
        <v>9</v>
      </c>
      <c r="C16" s="3">
        <v>1</v>
      </c>
      <c r="D16" s="4" t="s">
        <v>6</v>
      </c>
      <c r="E16" s="4">
        <v>52.201000000000001</v>
      </c>
      <c r="H16" s="3">
        <v>3</v>
      </c>
      <c r="I16" s="3" t="s">
        <v>9</v>
      </c>
      <c r="J16" s="3">
        <v>512</v>
      </c>
      <c r="K16" s="4" t="s">
        <v>6</v>
      </c>
      <c r="L16" s="4">
        <v>18.370999999999999</v>
      </c>
      <c r="O16" s="3">
        <v>3</v>
      </c>
      <c r="P16" s="3" t="s">
        <v>9</v>
      </c>
      <c r="Q16" s="3">
        <v>1024</v>
      </c>
      <c r="R16" s="4" t="s">
        <v>6</v>
      </c>
      <c r="S16" s="4">
        <v>19.036000000000001</v>
      </c>
      <c r="V16" s="5">
        <v>5</v>
      </c>
      <c r="W16" s="5" t="s">
        <v>9</v>
      </c>
      <c r="X16" s="5" t="s">
        <v>7</v>
      </c>
      <c r="Y16" s="6">
        <v>13.206</v>
      </c>
    </row>
    <row r="17" spans="1:25">
      <c r="A17" s="5">
        <v>3</v>
      </c>
      <c r="B17" s="5" t="s">
        <v>5</v>
      </c>
      <c r="C17" s="5">
        <v>1</v>
      </c>
      <c r="D17" s="6" t="s">
        <v>10</v>
      </c>
      <c r="E17" s="7">
        <v>1E-3</v>
      </c>
      <c r="H17" s="5">
        <v>3</v>
      </c>
      <c r="I17" s="5" t="s">
        <v>5</v>
      </c>
      <c r="J17" s="5">
        <v>512</v>
      </c>
      <c r="K17" s="6" t="s">
        <v>10</v>
      </c>
      <c r="L17" s="7">
        <v>1E-3</v>
      </c>
      <c r="O17" s="5">
        <v>3</v>
      </c>
      <c r="P17" s="5" t="s">
        <v>5</v>
      </c>
      <c r="Q17" s="5">
        <v>1024</v>
      </c>
      <c r="R17" s="6" t="s">
        <v>10</v>
      </c>
      <c r="S17" s="7">
        <v>2E-3</v>
      </c>
      <c r="V17" s="3">
        <v>6</v>
      </c>
      <c r="W17" s="3" t="s">
        <v>5</v>
      </c>
      <c r="X17" s="3" t="s">
        <v>7</v>
      </c>
      <c r="Y17" s="4">
        <v>2E-3</v>
      </c>
    </row>
    <row r="18" spans="1:25">
      <c r="A18" s="5">
        <v>3</v>
      </c>
      <c r="B18" s="5" t="s">
        <v>8</v>
      </c>
      <c r="C18" s="5">
        <v>1</v>
      </c>
      <c r="D18" s="6" t="s">
        <v>10</v>
      </c>
      <c r="E18" s="6">
        <v>101.60899999999999</v>
      </c>
      <c r="H18" s="5">
        <v>3</v>
      </c>
      <c r="I18" s="5" t="s">
        <v>8</v>
      </c>
      <c r="J18" s="5">
        <v>512</v>
      </c>
      <c r="K18" s="6" t="s">
        <v>10</v>
      </c>
      <c r="L18" s="6">
        <v>0.59299999999999997</v>
      </c>
      <c r="O18" s="5">
        <v>3</v>
      </c>
      <c r="P18" s="5" t="s">
        <v>8</v>
      </c>
      <c r="Q18" s="5">
        <v>1024</v>
      </c>
      <c r="R18" s="6" t="s">
        <v>10</v>
      </c>
      <c r="S18" s="6">
        <v>0.48699999999999999</v>
      </c>
      <c r="V18" s="3">
        <v>6</v>
      </c>
      <c r="W18" s="3" t="s">
        <v>8</v>
      </c>
      <c r="X18" s="3" t="s">
        <v>7</v>
      </c>
      <c r="Y18" s="4">
        <v>0.42899999999999999</v>
      </c>
    </row>
    <row r="19" spans="1:25">
      <c r="A19" s="5">
        <v>3</v>
      </c>
      <c r="B19" s="5" t="s">
        <v>9</v>
      </c>
      <c r="C19" s="5">
        <v>1</v>
      </c>
      <c r="D19" s="6" t="s">
        <v>10</v>
      </c>
      <c r="E19" s="6">
        <v>1033.539</v>
      </c>
      <c r="H19" s="5">
        <v>3</v>
      </c>
      <c r="I19" s="5" t="s">
        <v>9</v>
      </c>
      <c r="J19" s="5">
        <v>512</v>
      </c>
      <c r="K19" s="6" t="s">
        <v>10</v>
      </c>
      <c r="L19" s="6">
        <v>20.285</v>
      </c>
      <c r="O19" s="5">
        <v>3</v>
      </c>
      <c r="P19" s="5" t="s">
        <v>9</v>
      </c>
      <c r="Q19" s="5">
        <v>1024</v>
      </c>
      <c r="R19" s="6" t="s">
        <v>10</v>
      </c>
      <c r="S19" s="6">
        <v>18.827000000000002</v>
      </c>
      <c r="V19" s="3">
        <v>6</v>
      </c>
      <c r="W19" s="3" t="s">
        <v>9</v>
      </c>
      <c r="X19" s="3" t="s">
        <v>7</v>
      </c>
      <c r="Y19" s="4">
        <v>14.058999999999999</v>
      </c>
    </row>
    <row r="20" spans="1:25">
      <c r="A20" s="3">
        <v>4</v>
      </c>
      <c r="B20" s="3" t="s">
        <v>5</v>
      </c>
      <c r="C20" s="3">
        <v>1</v>
      </c>
      <c r="D20" s="4" t="s">
        <v>6</v>
      </c>
      <c r="E20" s="4">
        <v>1E-3</v>
      </c>
      <c r="H20" s="3">
        <v>4</v>
      </c>
      <c r="I20" s="3" t="s">
        <v>5</v>
      </c>
      <c r="J20" s="3">
        <v>512</v>
      </c>
      <c r="K20" s="4" t="s">
        <v>6</v>
      </c>
      <c r="L20" s="4">
        <v>2E-3</v>
      </c>
      <c r="O20" s="3">
        <v>4</v>
      </c>
      <c r="P20" s="3" t="s">
        <v>5</v>
      </c>
      <c r="Q20" s="3">
        <v>1024</v>
      </c>
      <c r="R20" s="4" t="s">
        <v>6</v>
      </c>
      <c r="S20" s="4">
        <v>1E-3</v>
      </c>
      <c r="V20" s="5">
        <v>7</v>
      </c>
      <c r="W20" s="5" t="s">
        <v>5</v>
      </c>
      <c r="X20" s="5" t="s">
        <v>7</v>
      </c>
      <c r="Y20" s="6">
        <v>1E-3</v>
      </c>
    </row>
    <row r="21" spans="1:25">
      <c r="A21" s="3">
        <v>4</v>
      </c>
      <c r="B21" s="3" t="s">
        <v>8</v>
      </c>
      <c r="C21" s="3">
        <v>1</v>
      </c>
      <c r="D21" s="4" t="s">
        <v>6</v>
      </c>
      <c r="E21" s="4">
        <v>4.4669999999999996</v>
      </c>
      <c r="H21" s="3">
        <v>4</v>
      </c>
      <c r="I21" s="3" t="s">
        <v>8</v>
      </c>
      <c r="J21" s="3">
        <v>512</v>
      </c>
      <c r="K21" s="4" t="s">
        <v>6</v>
      </c>
      <c r="L21" s="4">
        <v>0.48199999999999998</v>
      </c>
      <c r="O21" s="3">
        <v>4</v>
      </c>
      <c r="P21" s="3" t="s">
        <v>8</v>
      </c>
      <c r="Q21" s="3">
        <v>1024</v>
      </c>
      <c r="R21" s="4" t="s">
        <v>6</v>
      </c>
      <c r="S21" s="4">
        <v>0.499</v>
      </c>
      <c r="V21" s="5">
        <v>7</v>
      </c>
      <c r="W21" s="5" t="s">
        <v>8</v>
      </c>
      <c r="X21" s="5" t="s">
        <v>7</v>
      </c>
      <c r="Y21" s="6">
        <v>0.42799999999999999</v>
      </c>
    </row>
    <row r="22" spans="1:25">
      <c r="A22" s="3">
        <v>4</v>
      </c>
      <c r="B22" s="3" t="s">
        <v>9</v>
      </c>
      <c r="C22" s="3">
        <v>1</v>
      </c>
      <c r="D22" s="4" t="s">
        <v>6</v>
      </c>
      <c r="E22" s="4">
        <v>52.204000000000001</v>
      </c>
      <c r="H22" s="3">
        <v>4</v>
      </c>
      <c r="I22" s="3" t="s">
        <v>9</v>
      </c>
      <c r="J22" s="3">
        <v>512</v>
      </c>
      <c r="K22" s="4" t="s">
        <v>6</v>
      </c>
      <c r="L22" s="4">
        <v>19.922000000000001</v>
      </c>
      <c r="O22" s="3">
        <v>4</v>
      </c>
      <c r="P22" s="3" t="s">
        <v>9</v>
      </c>
      <c r="Q22" s="3">
        <v>1024</v>
      </c>
      <c r="R22" s="4" t="s">
        <v>6</v>
      </c>
      <c r="S22" s="4">
        <v>19.516999999999999</v>
      </c>
      <c r="V22" s="5">
        <v>7</v>
      </c>
      <c r="W22" s="5" t="s">
        <v>9</v>
      </c>
      <c r="X22" s="5" t="s">
        <v>7</v>
      </c>
      <c r="Y22" s="6">
        <v>13.21</v>
      </c>
    </row>
    <row r="23" spans="1:25">
      <c r="A23" s="5">
        <v>4</v>
      </c>
      <c r="B23" s="5" t="s">
        <v>5</v>
      </c>
      <c r="C23" s="5">
        <v>1</v>
      </c>
      <c r="D23" s="6" t="s">
        <v>10</v>
      </c>
      <c r="E23" s="7">
        <v>1E-3</v>
      </c>
      <c r="H23" s="5">
        <v>4</v>
      </c>
      <c r="I23" s="5" t="s">
        <v>5</v>
      </c>
      <c r="J23" s="5">
        <v>512</v>
      </c>
      <c r="K23" s="6" t="s">
        <v>10</v>
      </c>
      <c r="L23" s="7">
        <v>1E-3</v>
      </c>
      <c r="O23" s="5">
        <v>4</v>
      </c>
      <c r="P23" s="5" t="s">
        <v>5</v>
      </c>
      <c r="Q23" s="5">
        <v>1024</v>
      </c>
      <c r="R23" s="6" t="s">
        <v>10</v>
      </c>
      <c r="S23" s="7">
        <v>2E-3</v>
      </c>
      <c r="V23" s="3">
        <v>8</v>
      </c>
      <c r="W23" s="3" t="s">
        <v>5</v>
      </c>
      <c r="X23" s="3" t="s">
        <v>7</v>
      </c>
      <c r="Y23" s="4">
        <v>2E-3</v>
      </c>
    </row>
    <row r="24" spans="1:25">
      <c r="A24" s="5">
        <v>4</v>
      </c>
      <c r="B24" s="5" t="s">
        <v>8</v>
      </c>
      <c r="C24" s="5">
        <v>1</v>
      </c>
      <c r="D24" s="6" t="s">
        <v>10</v>
      </c>
      <c r="E24" s="6">
        <v>100.93600000000001</v>
      </c>
      <c r="H24" s="5">
        <v>4</v>
      </c>
      <c r="I24" s="5" t="s">
        <v>8</v>
      </c>
      <c r="J24" s="5">
        <v>512</v>
      </c>
      <c r="K24" s="6" t="s">
        <v>10</v>
      </c>
      <c r="L24" s="6">
        <v>0.57899999999999996</v>
      </c>
      <c r="O24" s="5">
        <v>4</v>
      </c>
      <c r="P24" s="5" t="s">
        <v>8</v>
      </c>
      <c r="Q24" s="5">
        <v>1024</v>
      </c>
      <c r="R24" s="6" t="s">
        <v>10</v>
      </c>
      <c r="S24" s="6">
        <v>0.48199999999999998</v>
      </c>
      <c r="V24" s="3">
        <v>8</v>
      </c>
      <c r="W24" s="3" t="s">
        <v>8</v>
      </c>
      <c r="X24" s="3" t="s">
        <v>7</v>
      </c>
      <c r="Y24" s="4">
        <v>0.433</v>
      </c>
    </row>
    <row r="25" spans="1:25">
      <c r="A25" s="5">
        <v>4</v>
      </c>
      <c r="B25" s="5" t="s">
        <v>9</v>
      </c>
      <c r="C25" s="5">
        <v>1</v>
      </c>
      <c r="D25" s="6" t="s">
        <v>10</v>
      </c>
      <c r="E25" s="6">
        <v>1016.609</v>
      </c>
      <c r="H25" s="5">
        <v>4</v>
      </c>
      <c r="I25" s="5" t="s">
        <v>9</v>
      </c>
      <c r="J25" s="5">
        <v>512</v>
      </c>
      <c r="K25" s="6" t="s">
        <v>10</v>
      </c>
      <c r="L25" s="6">
        <v>19.077999999999999</v>
      </c>
      <c r="O25" s="5">
        <v>4</v>
      </c>
      <c r="P25" s="5" t="s">
        <v>9</v>
      </c>
      <c r="Q25" s="5">
        <v>1024</v>
      </c>
      <c r="R25" s="6" t="s">
        <v>10</v>
      </c>
      <c r="S25" s="6">
        <v>19.283000000000001</v>
      </c>
      <c r="V25" s="3">
        <v>8</v>
      </c>
      <c r="W25" s="3" t="s">
        <v>9</v>
      </c>
      <c r="X25" s="3" t="s">
        <v>7</v>
      </c>
      <c r="Y25" s="4">
        <v>14.282999999999999</v>
      </c>
    </row>
    <row r="26" spans="1:25">
      <c r="A26" s="3">
        <v>5</v>
      </c>
      <c r="B26" s="3" t="s">
        <v>5</v>
      </c>
      <c r="C26" s="3">
        <v>1</v>
      </c>
      <c r="D26" s="4" t="s">
        <v>6</v>
      </c>
      <c r="E26" s="4">
        <v>2E-3</v>
      </c>
      <c r="H26" s="3">
        <v>5</v>
      </c>
      <c r="I26" s="3" t="s">
        <v>5</v>
      </c>
      <c r="J26" s="3">
        <v>512</v>
      </c>
      <c r="K26" s="4" t="s">
        <v>6</v>
      </c>
      <c r="L26" s="4">
        <v>1E-3</v>
      </c>
      <c r="O26" s="3">
        <v>5</v>
      </c>
      <c r="P26" s="3" t="s">
        <v>5</v>
      </c>
      <c r="Q26" s="3">
        <v>1024</v>
      </c>
      <c r="R26" s="4" t="s">
        <v>6</v>
      </c>
      <c r="S26" s="4">
        <v>2E-3</v>
      </c>
      <c r="V26" s="5">
        <v>9</v>
      </c>
      <c r="W26" s="5" t="s">
        <v>5</v>
      </c>
      <c r="X26" s="5" t="s">
        <v>7</v>
      </c>
      <c r="Y26" s="6">
        <v>2E-3</v>
      </c>
    </row>
    <row r="27" spans="1:25">
      <c r="A27" s="3">
        <v>5</v>
      </c>
      <c r="B27" s="3" t="s">
        <v>8</v>
      </c>
      <c r="C27" s="3">
        <v>1</v>
      </c>
      <c r="D27" s="4" t="s">
        <v>6</v>
      </c>
      <c r="E27" s="4">
        <v>4.444</v>
      </c>
      <c r="H27" s="3">
        <v>5</v>
      </c>
      <c r="I27" s="3" t="s">
        <v>8</v>
      </c>
      <c r="J27" s="3">
        <v>512</v>
      </c>
      <c r="K27" s="4" t="s">
        <v>6</v>
      </c>
      <c r="L27" s="4">
        <v>0.55200000000000005</v>
      </c>
      <c r="O27" s="3">
        <v>5</v>
      </c>
      <c r="P27" s="3" t="s">
        <v>8</v>
      </c>
      <c r="Q27" s="3">
        <v>1024</v>
      </c>
      <c r="R27" s="4" t="s">
        <v>6</v>
      </c>
      <c r="S27" s="4">
        <v>0.52</v>
      </c>
      <c r="V27" s="5">
        <v>9</v>
      </c>
      <c r="W27" s="5" t="s">
        <v>8</v>
      </c>
      <c r="X27" s="5" t="s">
        <v>7</v>
      </c>
      <c r="Y27" s="6">
        <v>0.41599999999999998</v>
      </c>
    </row>
    <row r="28" spans="1:25">
      <c r="A28" s="3">
        <v>5</v>
      </c>
      <c r="B28" s="3" t="s">
        <v>9</v>
      </c>
      <c r="C28" s="3">
        <v>1</v>
      </c>
      <c r="D28" s="4" t="s">
        <v>6</v>
      </c>
      <c r="E28" s="4">
        <v>51.84</v>
      </c>
      <c r="H28" s="3">
        <v>5</v>
      </c>
      <c r="I28" s="3" t="s">
        <v>9</v>
      </c>
      <c r="J28" s="3">
        <v>512</v>
      </c>
      <c r="K28" s="4" t="s">
        <v>6</v>
      </c>
      <c r="L28" s="4">
        <v>19.55</v>
      </c>
      <c r="O28" s="3">
        <v>5</v>
      </c>
      <c r="P28" s="3" t="s">
        <v>9</v>
      </c>
      <c r="Q28" s="3">
        <v>1024</v>
      </c>
      <c r="R28" s="4" t="s">
        <v>6</v>
      </c>
      <c r="S28" s="4">
        <v>19.998000000000001</v>
      </c>
      <c r="V28" s="5">
        <v>9</v>
      </c>
      <c r="W28" s="5" t="s">
        <v>9</v>
      </c>
      <c r="X28" s="5" t="s">
        <v>7</v>
      </c>
      <c r="Y28" s="6">
        <v>13.254</v>
      </c>
    </row>
    <row r="29" spans="1:25">
      <c r="A29" s="5">
        <v>5</v>
      </c>
      <c r="B29" s="5" t="s">
        <v>5</v>
      </c>
      <c r="C29" s="5">
        <v>1</v>
      </c>
      <c r="D29" s="6" t="s">
        <v>10</v>
      </c>
      <c r="E29" s="6">
        <v>2E-3</v>
      </c>
      <c r="H29" s="5">
        <v>5</v>
      </c>
      <c r="I29" s="5" t="s">
        <v>5</v>
      </c>
      <c r="J29" s="5">
        <v>512</v>
      </c>
      <c r="K29" s="6" t="s">
        <v>10</v>
      </c>
      <c r="L29" s="6">
        <v>1E-3</v>
      </c>
      <c r="O29" s="5">
        <v>5</v>
      </c>
      <c r="P29" s="5" t="s">
        <v>5</v>
      </c>
      <c r="Q29" s="5">
        <v>1024</v>
      </c>
      <c r="R29" s="6" t="s">
        <v>10</v>
      </c>
      <c r="S29" s="6">
        <v>1E-3</v>
      </c>
      <c r="V29" s="3">
        <v>10</v>
      </c>
      <c r="W29" s="3" t="s">
        <v>5</v>
      </c>
      <c r="X29" s="3" t="s">
        <v>7</v>
      </c>
      <c r="Y29" s="4">
        <v>2E-3</v>
      </c>
    </row>
    <row r="30" spans="1:25">
      <c r="A30" s="5">
        <v>5</v>
      </c>
      <c r="B30" s="5" t="s">
        <v>8</v>
      </c>
      <c r="C30" s="5">
        <v>1</v>
      </c>
      <c r="D30" s="6" t="s">
        <v>10</v>
      </c>
      <c r="E30" s="6">
        <v>100.56</v>
      </c>
      <c r="H30" s="5">
        <v>5</v>
      </c>
      <c r="I30" s="5" t="s">
        <v>8</v>
      </c>
      <c r="J30" s="5">
        <v>512</v>
      </c>
      <c r="K30" s="6" t="s">
        <v>10</v>
      </c>
      <c r="L30" s="6">
        <v>0.57899999999999996</v>
      </c>
      <c r="O30" s="5">
        <v>5</v>
      </c>
      <c r="P30" s="5" t="s">
        <v>8</v>
      </c>
      <c r="Q30" s="5">
        <v>1024</v>
      </c>
      <c r="R30" s="6" t="s">
        <v>10</v>
      </c>
      <c r="S30" s="6">
        <v>0.49399999999999999</v>
      </c>
      <c r="V30" s="3">
        <v>10</v>
      </c>
      <c r="W30" s="3" t="s">
        <v>8</v>
      </c>
      <c r="X30" s="3" t="s">
        <v>7</v>
      </c>
      <c r="Y30" s="4">
        <v>0.433</v>
      </c>
    </row>
    <row r="31" spans="1:25">
      <c r="A31" s="5">
        <v>5</v>
      </c>
      <c r="B31" s="5" t="s">
        <v>9</v>
      </c>
      <c r="C31" s="5">
        <v>1</v>
      </c>
      <c r="D31" s="6" t="s">
        <v>10</v>
      </c>
      <c r="E31" s="6">
        <v>1022.57</v>
      </c>
      <c r="H31" s="5">
        <v>5</v>
      </c>
      <c r="I31" s="5" t="s">
        <v>9</v>
      </c>
      <c r="J31" s="5">
        <v>512</v>
      </c>
      <c r="K31" s="6" t="s">
        <v>10</v>
      </c>
      <c r="L31" s="6">
        <v>19.89</v>
      </c>
      <c r="O31" s="5">
        <v>5</v>
      </c>
      <c r="P31" s="5" t="s">
        <v>9</v>
      </c>
      <c r="Q31" s="5">
        <v>1024</v>
      </c>
      <c r="R31" s="6" t="s">
        <v>10</v>
      </c>
      <c r="S31" s="6">
        <v>18.713000000000001</v>
      </c>
      <c r="V31" s="3">
        <v>10</v>
      </c>
      <c r="W31" s="3" t="s">
        <v>9</v>
      </c>
      <c r="X31" s="3" t="s">
        <v>7</v>
      </c>
      <c r="Y31" s="4">
        <v>14.473000000000001</v>
      </c>
    </row>
    <row r="32" spans="1:25">
      <c r="A32" s="3">
        <v>6</v>
      </c>
      <c r="B32" s="3" t="s">
        <v>5</v>
      </c>
      <c r="C32" s="3">
        <v>1</v>
      </c>
      <c r="D32" s="4" t="s">
        <v>6</v>
      </c>
      <c r="E32" s="4">
        <v>1E-3</v>
      </c>
      <c r="H32" s="3">
        <v>6</v>
      </c>
      <c r="I32" s="3" t="s">
        <v>5</v>
      </c>
      <c r="J32" s="3">
        <v>512</v>
      </c>
      <c r="K32" s="4" t="s">
        <v>6</v>
      </c>
      <c r="L32" s="4">
        <v>1E-3</v>
      </c>
      <c r="O32" s="3">
        <v>6</v>
      </c>
      <c r="P32" s="3" t="s">
        <v>5</v>
      </c>
      <c r="Q32" s="3">
        <v>1024</v>
      </c>
      <c r="R32" s="4" t="s">
        <v>6</v>
      </c>
      <c r="S32" s="4">
        <v>1E-3</v>
      </c>
      <c r="V32" s="5">
        <v>11</v>
      </c>
      <c r="W32" s="5" t="s">
        <v>5</v>
      </c>
      <c r="X32" s="5" t="s">
        <v>7</v>
      </c>
      <c r="Y32" s="6">
        <v>2E-3</v>
      </c>
    </row>
    <row r="33" spans="1:25">
      <c r="A33" s="3">
        <v>6</v>
      </c>
      <c r="B33" s="3" t="s">
        <v>8</v>
      </c>
      <c r="C33" s="3">
        <v>1</v>
      </c>
      <c r="D33" s="4" t="s">
        <v>6</v>
      </c>
      <c r="E33" s="4">
        <v>4.5149999999999997</v>
      </c>
      <c r="H33" s="3">
        <v>6</v>
      </c>
      <c r="I33" s="3" t="s">
        <v>8</v>
      </c>
      <c r="J33" s="3">
        <v>512</v>
      </c>
      <c r="K33" s="4" t="s">
        <v>6</v>
      </c>
      <c r="L33" s="4">
        <v>0.46800000000000003</v>
      </c>
      <c r="O33" s="3">
        <v>6</v>
      </c>
      <c r="P33" s="3" t="s">
        <v>8</v>
      </c>
      <c r="Q33" s="3">
        <v>1024</v>
      </c>
      <c r="R33" s="4" t="s">
        <v>6</v>
      </c>
      <c r="S33" s="4">
        <v>0.49199999999999999</v>
      </c>
      <c r="V33" s="5">
        <v>11</v>
      </c>
      <c r="W33" s="5" t="s">
        <v>8</v>
      </c>
      <c r="X33" s="5" t="s">
        <v>7</v>
      </c>
      <c r="Y33" s="6">
        <v>0.41599999999999998</v>
      </c>
    </row>
    <row r="34" spans="1:25">
      <c r="A34" s="3">
        <v>6</v>
      </c>
      <c r="B34" s="3" t="s">
        <v>9</v>
      </c>
      <c r="C34" s="3">
        <v>1</v>
      </c>
      <c r="D34" s="4" t="s">
        <v>6</v>
      </c>
      <c r="E34" s="4">
        <v>51.985999999999997</v>
      </c>
      <c r="H34" s="3">
        <v>6</v>
      </c>
      <c r="I34" s="3" t="s">
        <v>9</v>
      </c>
      <c r="J34" s="3">
        <v>512</v>
      </c>
      <c r="K34" s="4" t="s">
        <v>6</v>
      </c>
      <c r="L34" s="4">
        <v>18.114999999999998</v>
      </c>
      <c r="O34" s="3">
        <v>6</v>
      </c>
      <c r="P34" s="3" t="s">
        <v>9</v>
      </c>
      <c r="Q34" s="3">
        <v>1024</v>
      </c>
      <c r="R34" s="4" t="s">
        <v>6</v>
      </c>
      <c r="S34" s="4">
        <v>18.951000000000001</v>
      </c>
      <c r="V34" s="5">
        <v>11</v>
      </c>
      <c r="W34" s="5" t="s">
        <v>9</v>
      </c>
      <c r="X34" s="5" t="s">
        <v>7</v>
      </c>
      <c r="Y34" s="6">
        <v>13.321</v>
      </c>
    </row>
    <row r="35" spans="1:25">
      <c r="A35" s="5">
        <v>6</v>
      </c>
      <c r="B35" s="5" t="s">
        <v>5</v>
      </c>
      <c r="C35" s="5">
        <v>1</v>
      </c>
      <c r="D35" s="6" t="s">
        <v>10</v>
      </c>
      <c r="E35" s="7">
        <v>1E-3</v>
      </c>
      <c r="H35" s="5">
        <v>6</v>
      </c>
      <c r="I35" s="5" t="s">
        <v>5</v>
      </c>
      <c r="J35" s="5">
        <v>512</v>
      </c>
      <c r="K35" s="6" t="s">
        <v>10</v>
      </c>
      <c r="L35" s="7">
        <v>1E-3</v>
      </c>
      <c r="O35" s="5">
        <v>6</v>
      </c>
      <c r="P35" s="5" t="s">
        <v>5</v>
      </c>
      <c r="Q35" s="5">
        <v>1024</v>
      </c>
      <c r="R35" s="6" t="s">
        <v>10</v>
      </c>
      <c r="S35" s="7">
        <v>2E-3</v>
      </c>
      <c r="V35" s="3">
        <v>12</v>
      </c>
      <c r="W35" s="3" t="s">
        <v>5</v>
      </c>
      <c r="X35" s="3" t="s">
        <v>7</v>
      </c>
      <c r="Y35" s="4">
        <v>6.0000000000000001E-3</v>
      </c>
    </row>
    <row r="36" spans="1:25">
      <c r="A36" s="5">
        <v>6</v>
      </c>
      <c r="B36" s="5" t="s">
        <v>8</v>
      </c>
      <c r="C36" s="5">
        <v>1</v>
      </c>
      <c r="D36" s="6" t="s">
        <v>10</v>
      </c>
      <c r="E36" s="6">
        <v>101.39100000000001</v>
      </c>
      <c r="H36" s="5">
        <v>6</v>
      </c>
      <c r="I36" s="5" t="s">
        <v>8</v>
      </c>
      <c r="J36" s="5">
        <v>512</v>
      </c>
      <c r="K36" s="6" t="s">
        <v>10</v>
      </c>
      <c r="L36" s="6">
        <v>0.58299999999999996</v>
      </c>
      <c r="O36" s="5">
        <v>6</v>
      </c>
      <c r="P36" s="5" t="s">
        <v>8</v>
      </c>
      <c r="Q36" s="5">
        <v>1024</v>
      </c>
      <c r="R36" s="6" t="s">
        <v>10</v>
      </c>
      <c r="S36" s="6">
        <v>0.48499999999999999</v>
      </c>
      <c r="V36" s="3">
        <v>12</v>
      </c>
      <c r="W36" s="3" t="s">
        <v>8</v>
      </c>
      <c r="X36" s="3" t="s">
        <v>7</v>
      </c>
      <c r="Y36" s="4">
        <v>0.434</v>
      </c>
    </row>
    <row r="37" spans="1:25">
      <c r="A37" s="5">
        <v>6</v>
      </c>
      <c r="B37" s="5" t="s">
        <v>9</v>
      </c>
      <c r="C37" s="5">
        <v>1</v>
      </c>
      <c r="D37" s="6" t="s">
        <v>10</v>
      </c>
      <c r="E37" s="6">
        <v>1014.6369999999999</v>
      </c>
      <c r="H37" s="5">
        <v>6</v>
      </c>
      <c r="I37" s="5" t="s">
        <v>9</v>
      </c>
      <c r="J37" s="5">
        <v>512</v>
      </c>
      <c r="K37" s="6" t="s">
        <v>10</v>
      </c>
      <c r="L37" s="6">
        <v>18.699000000000002</v>
      </c>
      <c r="O37" s="5">
        <v>6</v>
      </c>
      <c r="P37" s="5" t="s">
        <v>9</v>
      </c>
      <c r="Q37" s="5">
        <v>1024</v>
      </c>
      <c r="R37" s="6" t="s">
        <v>10</v>
      </c>
      <c r="S37" s="6">
        <v>18.657</v>
      </c>
      <c r="V37" s="3">
        <v>12</v>
      </c>
      <c r="W37" s="3" t="s">
        <v>9</v>
      </c>
      <c r="X37" s="3" t="s">
        <v>7</v>
      </c>
      <c r="Y37" s="4">
        <v>16.614999999999998</v>
      </c>
    </row>
    <row r="38" spans="1:25">
      <c r="A38" s="3">
        <v>7</v>
      </c>
      <c r="B38" s="3" t="s">
        <v>5</v>
      </c>
      <c r="C38" s="3">
        <v>1</v>
      </c>
      <c r="D38" s="4" t="s">
        <v>6</v>
      </c>
      <c r="E38" s="4">
        <v>1E-3</v>
      </c>
      <c r="H38" s="3">
        <v>7</v>
      </c>
      <c r="I38" s="3" t="s">
        <v>5</v>
      </c>
      <c r="J38" s="3">
        <v>512</v>
      </c>
      <c r="K38" s="4" t="s">
        <v>6</v>
      </c>
      <c r="L38" s="4">
        <v>1E-3</v>
      </c>
      <c r="O38" s="3">
        <v>7</v>
      </c>
      <c r="P38" s="3" t="s">
        <v>5</v>
      </c>
      <c r="Q38" s="3">
        <v>1024</v>
      </c>
      <c r="R38" s="4" t="s">
        <v>6</v>
      </c>
      <c r="S38" s="4">
        <v>1E-3</v>
      </c>
      <c r="V38" s="5">
        <v>13</v>
      </c>
      <c r="W38" s="5" t="s">
        <v>5</v>
      </c>
      <c r="X38" s="5" t="s">
        <v>7</v>
      </c>
      <c r="Y38" s="6">
        <v>2E-3</v>
      </c>
    </row>
    <row r="39" spans="1:25">
      <c r="A39" s="3">
        <v>7</v>
      </c>
      <c r="B39" s="3" t="s">
        <v>8</v>
      </c>
      <c r="C39" s="3">
        <v>1</v>
      </c>
      <c r="D39" s="4" t="s">
        <v>6</v>
      </c>
      <c r="E39" s="4">
        <v>4.4480000000000004</v>
      </c>
      <c r="H39" s="3">
        <v>7</v>
      </c>
      <c r="I39" s="3" t="s">
        <v>8</v>
      </c>
      <c r="J39" s="3">
        <v>512</v>
      </c>
      <c r="K39" s="4" t="s">
        <v>6</v>
      </c>
      <c r="L39" s="4">
        <v>0.53700000000000003</v>
      </c>
      <c r="O39" s="3">
        <v>7</v>
      </c>
      <c r="P39" s="3" t="s">
        <v>8</v>
      </c>
      <c r="Q39" s="3">
        <v>1024</v>
      </c>
      <c r="R39" s="4" t="s">
        <v>6</v>
      </c>
      <c r="S39" s="4">
        <v>0.58099999999999996</v>
      </c>
      <c r="V39" s="5">
        <v>13</v>
      </c>
      <c r="W39" s="5" t="s">
        <v>8</v>
      </c>
      <c r="X39" s="5" t="s">
        <v>7</v>
      </c>
      <c r="Y39" s="6">
        <v>0.435</v>
      </c>
    </row>
    <row r="40" spans="1:25">
      <c r="A40" s="3">
        <v>7</v>
      </c>
      <c r="B40" s="3" t="s">
        <v>9</v>
      </c>
      <c r="C40" s="3">
        <v>1</v>
      </c>
      <c r="D40" s="4" t="s">
        <v>6</v>
      </c>
      <c r="E40" s="4">
        <v>53.252000000000002</v>
      </c>
      <c r="H40" s="3">
        <v>7</v>
      </c>
      <c r="I40" s="3" t="s">
        <v>9</v>
      </c>
      <c r="J40" s="3">
        <v>512</v>
      </c>
      <c r="K40" s="4" t="s">
        <v>6</v>
      </c>
      <c r="L40" s="4">
        <v>20.463999999999999</v>
      </c>
      <c r="O40" s="3">
        <v>7</v>
      </c>
      <c r="P40" s="3" t="s">
        <v>9</v>
      </c>
      <c r="Q40" s="3">
        <v>1024</v>
      </c>
      <c r="R40" s="4" t="s">
        <v>6</v>
      </c>
      <c r="S40" s="4">
        <v>19.087</v>
      </c>
      <c r="V40" s="5">
        <v>13</v>
      </c>
      <c r="W40" s="5" t="s">
        <v>9</v>
      </c>
      <c r="X40" s="5" t="s">
        <v>7</v>
      </c>
      <c r="Y40" s="6">
        <v>16.478999999999999</v>
      </c>
    </row>
    <row r="41" spans="1:25">
      <c r="A41" s="5">
        <v>7</v>
      </c>
      <c r="B41" s="5" t="s">
        <v>5</v>
      </c>
      <c r="C41" s="5">
        <v>1</v>
      </c>
      <c r="D41" s="6" t="s">
        <v>10</v>
      </c>
      <c r="E41" s="7">
        <v>1E-3</v>
      </c>
      <c r="H41" s="5">
        <v>7</v>
      </c>
      <c r="I41" s="5" t="s">
        <v>5</v>
      </c>
      <c r="J41" s="5">
        <v>512</v>
      </c>
      <c r="K41" s="6" t="s">
        <v>10</v>
      </c>
      <c r="L41" s="7">
        <v>3.0000000000000001E-3</v>
      </c>
      <c r="O41" s="5">
        <v>7</v>
      </c>
      <c r="P41" s="5" t="s">
        <v>5</v>
      </c>
      <c r="Q41" s="5">
        <v>1024</v>
      </c>
      <c r="R41" s="6" t="s">
        <v>10</v>
      </c>
      <c r="S41" s="7">
        <v>1E-3</v>
      </c>
      <c r="V41" s="3">
        <v>14</v>
      </c>
      <c r="W41" s="3" t="s">
        <v>5</v>
      </c>
      <c r="X41" s="3" t="s">
        <v>7</v>
      </c>
      <c r="Y41" s="4">
        <v>1E-3</v>
      </c>
    </row>
    <row r="42" spans="1:25">
      <c r="A42" s="5">
        <v>7</v>
      </c>
      <c r="B42" s="5" t="s">
        <v>8</v>
      </c>
      <c r="C42" s="5">
        <v>1</v>
      </c>
      <c r="D42" s="6" t="s">
        <v>10</v>
      </c>
      <c r="E42" s="6">
        <v>100.80500000000001</v>
      </c>
      <c r="H42" s="5">
        <v>7</v>
      </c>
      <c r="I42" s="5" t="s">
        <v>8</v>
      </c>
      <c r="J42" s="5">
        <v>512</v>
      </c>
      <c r="K42" s="6" t="s">
        <v>10</v>
      </c>
      <c r="L42" s="6">
        <v>0.6</v>
      </c>
      <c r="O42" s="5">
        <v>7</v>
      </c>
      <c r="P42" s="5" t="s">
        <v>8</v>
      </c>
      <c r="Q42" s="5">
        <v>1024</v>
      </c>
      <c r="R42" s="6" t="s">
        <v>10</v>
      </c>
      <c r="S42" s="6">
        <v>0.48399999999999999</v>
      </c>
      <c r="V42" s="3">
        <v>14</v>
      </c>
      <c r="W42" s="3" t="s">
        <v>8</v>
      </c>
      <c r="X42" s="3" t="s">
        <v>7</v>
      </c>
      <c r="Y42" s="4">
        <v>0.38</v>
      </c>
    </row>
    <row r="43" spans="1:25">
      <c r="A43" s="5">
        <v>7</v>
      </c>
      <c r="B43" s="5" t="s">
        <v>9</v>
      </c>
      <c r="C43" s="5">
        <v>1</v>
      </c>
      <c r="D43" s="6" t="s">
        <v>10</v>
      </c>
      <c r="E43" s="6">
        <v>1030.5709999999999</v>
      </c>
      <c r="H43" s="5">
        <v>7</v>
      </c>
      <c r="I43" s="5" t="s">
        <v>9</v>
      </c>
      <c r="J43" s="5">
        <v>512</v>
      </c>
      <c r="K43" s="6" t="s">
        <v>10</v>
      </c>
      <c r="L43" s="6">
        <v>19.815999999999999</v>
      </c>
      <c r="O43" s="5">
        <v>7</v>
      </c>
      <c r="P43" s="5" t="s">
        <v>9</v>
      </c>
      <c r="Q43" s="5">
        <v>1024</v>
      </c>
      <c r="R43" s="6" t="s">
        <v>10</v>
      </c>
      <c r="S43" s="6">
        <v>17.997</v>
      </c>
      <c r="V43" s="3">
        <v>14</v>
      </c>
      <c r="W43" s="3" t="s">
        <v>9</v>
      </c>
      <c r="X43" s="3" t="s">
        <v>7</v>
      </c>
      <c r="Y43" s="4">
        <v>16.957999999999998</v>
      </c>
    </row>
    <row r="44" spans="1:25">
      <c r="A44" s="3">
        <v>8</v>
      </c>
      <c r="B44" s="3" t="s">
        <v>5</v>
      </c>
      <c r="C44" s="3">
        <v>1</v>
      </c>
      <c r="D44" s="4" t="s">
        <v>6</v>
      </c>
      <c r="E44" s="8">
        <v>1E-3</v>
      </c>
      <c r="H44" s="3">
        <v>8</v>
      </c>
      <c r="I44" s="3" t="s">
        <v>5</v>
      </c>
      <c r="J44" s="3">
        <v>512</v>
      </c>
      <c r="K44" s="4" t="s">
        <v>6</v>
      </c>
      <c r="L44" s="8">
        <v>1E-3</v>
      </c>
      <c r="O44" s="3">
        <v>8</v>
      </c>
      <c r="P44" s="3" t="s">
        <v>5</v>
      </c>
      <c r="Q44" s="3">
        <v>1024</v>
      </c>
      <c r="R44" s="4" t="s">
        <v>6</v>
      </c>
      <c r="S44" s="8">
        <v>1E-3</v>
      </c>
      <c r="V44" s="5">
        <v>15</v>
      </c>
      <c r="W44" s="5" t="s">
        <v>5</v>
      </c>
      <c r="X44" s="5" t="s">
        <v>7</v>
      </c>
      <c r="Y44" s="6">
        <v>2E-3</v>
      </c>
    </row>
    <row r="45" spans="1:25">
      <c r="A45" s="3">
        <v>8</v>
      </c>
      <c r="B45" s="3" t="s">
        <v>8</v>
      </c>
      <c r="C45" s="3">
        <v>1</v>
      </c>
      <c r="D45" s="4" t="s">
        <v>6</v>
      </c>
      <c r="E45" s="4">
        <v>4.5069999999999997</v>
      </c>
      <c r="H45" s="3">
        <v>8</v>
      </c>
      <c r="I45" s="3" t="s">
        <v>8</v>
      </c>
      <c r="J45" s="3">
        <v>512</v>
      </c>
      <c r="K45" s="4" t="s">
        <v>6</v>
      </c>
      <c r="L45" s="4">
        <v>0.47899999999999998</v>
      </c>
      <c r="O45" s="3">
        <v>8</v>
      </c>
      <c r="P45" s="3" t="s">
        <v>8</v>
      </c>
      <c r="Q45" s="3">
        <v>1024</v>
      </c>
      <c r="R45" s="4" t="s">
        <v>6</v>
      </c>
      <c r="S45" s="4">
        <v>0.51300000000000001</v>
      </c>
      <c r="V45" s="5">
        <v>15</v>
      </c>
      <c r="W45" s="5" t="s">
        <v>8</v>
      </c>
      <c r="X45" s="5" t="s">
        <v>7</v>
      </c>
      <c r="Y45" s="6">
        <v>0.43</v>
      </c>
    </row>
    <row r="46" spans="1:25">
      <c r="A46" s="3">
        <v>8</v>
      </c>
      <c r="B46" s="3" t="s">
        <v>9</v>
      </c>
      <c r="C46" s="3">
        <v>1</v>
      </c>
      <c r="D46" s="4" t="s">
        <v>6</v>
      </c>
      <c r="E46" s="4">
        <v>53.317</v>
      </c>
      <c r="H46" s="3">
        <v>8</v>
      </c>
      <c r="I46" s="3" t="s">
        <v>9</v>
      </c>
      <c r="J46" s="3">
        <v>512</v>
      </c>
      <c r="K46" s="4" t="s">
        <v>6</v>
      </c>
      <c r="L46" s="4">
        <v>18.673999999999999</v>
      </c>
      <c r="O46" s="3">
        <v>8</v>
      </c>
      <c r="P46" s="3" t="s">
        <v>9</v>
      </c>
      <c r="Q46" s="3">
        <v>1024</v>
      </c>
      <c r="R46" s="4" t="s">
        <v>6</v>
      </c>
      <c r="S46" s="4">
        <v>19.164000000000001</v>
      </c>
      <c r="V46" s="5">
        <v>15</v>
      </c>
      <c r="W46" s="5" t="s">
        <v>9</v>
      </c>
      <c r="X46" s="5" t="s">
        <v>7</v>
      </c>
      <c r="Y46" s="6">
        <v>16.280999999999999</v>
      </c>
    </row>
    <row r="47" spans="1:25">
      <c r="A47" s="5">
        <v>8</v>
      </c>
      <c r="B47" s="5" t="s">
        <v>5</v>
      </c>
      <c r="C47" s="5">
        <v>1</v>
      </c>
      <c r="D47" s="6" t="s">
        <v>10</v>
      </c>
      <c r="E47" s="7">
        <v>1E-3</v>
      </c>
      <c r="H47" s="5">
        <v>8</v>
      </c>
      <c r="I47" s="5" t="s">
        <v>5</v>
      </c>
      <c r="J47" s="5">
        <v>512</v>
      </c>
      <c r="K47" s="6" t="s">
        <v>10</v>
      </c>
      <c r="L47" s="7">
        <v>6.0000000000000001E-3</v>
      </c>
      <c r="O47" s="5">
        <v>8</v>
      </c>
      <c r="P47" s="5" t="s">
        <v>5</v>
      </c>
      <c r="Q47" s="5">
        <v>1024</v>
      </c>
      <c r="R47" s="6" t="s">
        <v>10</v>
      </c>
      <c r="S47" s="7">
        <v>3.0000000000000001E-3</v>
      </c>
      <c r="V47" s="3">
        <v>16</v>
      </c>
      <c r="W47" s="3" t="s">
        <v>5</v>
      </c>
      <c r="X47" s="3" t="s">
        <v>7</v>
      </c>
      <c r="Y47" s="4">
        <v>1E-3</v>
      </c>
    </row>
    <row r="48" spans="1:25">
      <c r="A48" s="5">
        <v>8</v>
      </c>
      <c r="B48" s="5" t="s">
        <v>8</v>
      </c>
      <c r="C48" s="5">
        <v>1</v>
      </c>
      <c r="D48" s="6" t="s">
        <v>10</v>
      </c>
      <c r="E48" s="6">
        <v>101.241</v>
      </c>
      <c r="H48" s="5">
        <v>8</v>
      </c>
      <c r="I48" s="5" t="s">
        <v>8</v>
      </c>
      <c r="J48" s="5">
        <v>512</v>
      </c>
      <c r="K48" s="6" t="s">
        <v>10</v>
      </c>
      <c r="L48" s="6">
        <v>0.58299999999999996</v>
      </c>
      <c r="O48" s="5">
        <v>8</v>
      </c>
      <c r="P48" s="5" t="s">
        <v>8</v>
      </c>
      <c r="Q48" s="5">
        <v>1024</v>
      </c>
      <c r="R48" s="6" t="s">
        <v>10</v>
      </c>
      <c r="S48" s="6">
        <v>0.48699999999999999</v>
      </c>
      <c r="V48" s="3">
        <v>16</v>
      </c>
      <c r="W48" s="3" t="s">
        <v>8</v>
      </c>
      <c r="X48" s="3" t="s">
        <v>7</v>
      </c>
      <c r="Y48" s="4">
        <v>0.35899999999999999</v>
      </c>
    </row>
    <row r="49" spans="1:25">
      <c r="A49" s="5">
        <v>8</v>
      </c>
      <c r="B49" s="5" t="s">
        <v>9</v>
      </c>
      <c r="C49" s="5">
        <v>1</v>
      </c>
      <c r="D49" s="6" t="s">
        <v>10</v>
      </c>
      <c r="E49" s="6">
        <v>1009.671</v>
      </c>
      <c r="H49" s="5">
        <v>8</v>
      </c>
      <c r="I49" s="5" t="s">
        <v>9</v>
      </c>
      <c r="J49" s="5">
        <v>512</v>
      </c>
      <c r="K49" s="6" t="s">
        <v>10</v>
      </c>
      <c r="L49" s="6">
        <v>19.042999999999999</v>
      </c>
      <c r="O49" s="5">
        <v>8</v>
      </c>
      <c r="P49" s="5" t="s">
        <v>9</v>
      </c>
      <c r="Q49" s="5">
        <v>1024</v>
      </c>
      <c r="R49" s="6" t="s">
        <v>10</v>
      </c>
      <c r="S49" s="6">
        <v>18.548999999999999</v>
      </c>
      <c r="V49" s="3">
        <v>16</v>
      </c>
      <c r="W49" s="3" t="s">
        <v>9</v>
      </c>
      <c r="X49" s="3" t="s">
        <v>7</v>
      </c>
      <c r="Y49" s="4">
        <v>17.050999999999998</v>
      </c>
    </row>
    <row r="50" spans="1:25">
      <c r="A50" s="3">
        <v>9</v>
      </c>
      <c r="B50" s="3" t="s">
        <v>5</v>
      </c>
      <c r="C50" s="3">
        <v>1</v>
      </c>
      <c r="D50" s="4" t="s">
        <v>6</v>
      </c>
      <c r="E50" s="8">
        <v>1E-3</v>
      </c>
      <c r="H50" s="3">
        <v>9</v>
      </c>
      <c r="I50" s="3" t="s">
        <v>5</v>
      </c>
      <c r="J50" s="3">
        <v>512</v>
      </c>
      <c r="K50" s="4" t="s">
        <v>6</v>
      </c>
      <c r="L50" s="8">
        <v>1E-3</v>
      </c>
      <c r="O50" s="3">
        <v>9</v>
      </c>
      <c r="P50" s="3" t="s">
        <v>5</v>
      </c>
      <c r="Q50" s="3">
        <v>1024</v>
      </c>
      <c r="R50" s="4" t="s">
        <v>6</v>
      </c>
      <c r="S50" s="8">
        <v>1E-3</v>
      </c>
      <c r="V50" s="5">
        <v>17</v>
      </c>
      <c r="W50" s="5" t="s">
        <v>5</v>
      </c>
      <c r="X50" s="5" t="s">
        <v>7</v>
      </c>
      <c r="Y50" s="6">
        <v>2E-3</v>
      </c>
    </row>
    <row r="51" spans="1:25">
      <c r="A51" s="3">
        <v>9</v>
      </c>
      <c r="B51" s="3" t="s">
        <v>8</v>
      </c>
      <c r="C51" s="3">
        <v>1</v>
      </c>
      <c r="D51" s="4" t="s">
        <v>6</v>
      </c>
      <c r="E51" s="4">
        <v>4.46</v>
      </c>
      <c r="H51" s="3">
        <v>9</v>
      </c>
      <c r="I51" s="3" t="s">
        <v>8</v>
      </c>
      <c r="J51" s="3">
        <v>512</v>
      </c>
      <c r="K51" s="4" t="s">
        <v>6</v>
      </c>
      <c r="L51" s="4">
        <v>0.53600000000000003</v>
      </c>
      <c r="O51" s="3">
        <v>9</v>
      </c>
      <c r="P51" s="3" t="s">
        <v>8</v>
      </c>
      <c r="Q51" s="3">
        <v>1024</v>
      </c>
      <c r="R51" s="4" t="s">
        <v>6</v>
      </c>
      <c r="S51" s="4">
        <v>0.57899999999999996</v>
      </c>
      <c r="V51" s="5">
        <v>17</v>
      </c>
      <c r="W51" s="5" t="s">
        <v>8</v>
      </c>
      <c r="X51" s="5" t="s">
        <v>7</v>
      </c>
      <c r="Y51" s="6">
        <v>0.43099999999999999</v>
      </c>
    </row>
    <row r="52" spans="1:25">
      <c r="A52" s="3">
        <v>9</v>
      </c>
      <c r="B52" s="3" t="s">
        <v>9</v>
      </c>
      <c r="C52" s="3">
        <v>1</v>
      </c>
      <c r="D52" s="4" t="s">
        <v>6</v>
      </c>
      <c r="E52" s="4">
        <v>53.302</v>
      </c>
      <c r="H52" s="3">
        <v>9</v>
      </c>
      <c r="I52" s="3" t="s">
        <v>9</v>
      </c>
      <c r="J52" s="3">
        <v>512</v>
      </c>
      <c r="K52" s="4" t="s">
        <v>6</v>
      </c>
      <c r="L52" s="4">
        <v>19.033000000000001</v>
      </c>
      <c r="O52" s="3">
        <v>9</v>
      </c>
      <c r="P52" s="3" t="s">
        <v>9</v>
      </c>
      <c r="Q52" s="3">
        <v>1024</v>
      </c>
      <c r="R52" s="4" t="s">
        <v>6</v>
      </c>
      <c r="S52" s="4">
        <v>17.385999999999999</v>
      </c>
      <c r="V52" s="5">
        <v>17</v>
      </c>
      <c r="W52" s="5" t="s">
        <v>9</v>
      </c>
      <c r="X52" s="5" t="s">
        <v>7</v>
      </c>
      <c r="Y52" s="6">
        <v>16.158000000000001</v>
      </c>
    </row>
    <row r="53" spans="1:25">
      <c r="A53" s="5">
        <v>9</v>
      </c>
      <c r="B53" s="5" t="s">
        <v>5</v>
      </c>
      <c r="C53" s="5">
        <v>1</v>
      </c>
      <c r="D53" s="6" t="s">
        <v>10</v>
      </c>
      <c r="E53" s="7">
        <v>1E-3</v>
      </c>
      <c r="H53" s="5">
        <v>9</v>
      </c>
      <c r="I53" s="5" t="s">
        <v>5</v>
      </c>
      <c r="J53" s="5">
        <v>512</v>
      </c>
      <c r="K53" s="6" t="s">
        <v>10</v>
      </c>
      <c r="L53" s="7">
        <v>1E-3</v>
      </c>
      <c r="O53" s="5">
        <v>9</v>
      </c>
      <c r="P53" s="5" t="s">
        <v>5</v>
      </c>
      <c r="Q53" s="5">
        <v>1024</v>
      </c>
      <c r="R53" s="6" t="s">
        <v>10</v>
      </c>
      <c r="S53" s="7">
        <v>1E-3</v>
      </c>
      <c r="V53" s="3">
        <v>18</v>
      </c>
      <c r="W53" s="3" t="s">
        <v>5</v>
      </c>
      <c r="X53" s="3" t="s">
        <v>7</v>
      </c>
      <c r="Y53" s="4">
        <v>2E-3</v>
      </c>
    </row>
    <row r="54" spans="1:25">
      <c r="A54" s="5">
        <v>9</v>
      </c>
      <c r="B54" s="5" t="s">
        <v>8</v>
      </c>
      <c r="C54" s="5">
        <v>1</v>
      </c>
      <c r="D54" s="6" t="s">
        <v>10</v>
      </c>
      <c r="E54" s="6">
        <v>101.09399999999999</v>
      </c>
      <c r="H54" s="5">
        <v>9</v>
      </c>
      <c r="I54" s="5" t="s">
        <v>8</v>
      </c>
      <c r="J54" s="5">
        <v>512</v>
      </c>
      <c r="K54" s="6" t="s">
        <v>10</v>
      </c>
      <c r="L54" s="6">
        <v>0.57899999999999996</v>
      </c>
      <c r="O54" s="5">
        <v>9</v>
      </c>
      <c r="P54" s="5" t="s">
        <v>8</v>
      </c>
      <c r="Q54" s="5">
        <v>1024</v>
      </c>
      <c r="R54" s="6" t="s">
        <v>10</v>
      </c>
      <c r="S54" s="6">
        <v>0.48599999999999999</v>
      </c>
      <c r="V54" s="3">
        <v>18</v>
      </c>
      <c r="W54" s="3" t="s">
        <v>8</v>
      </c>
      <c r="X54" s="3" t="s">
        <v>7</v>
      </c>
      <c r="Y54" s="4">
        <v>0.47199999999999998</v>
      </c>
    </row>
    <row r="55" spans="1:25">
      <c r="A55" s="5">
        <v>9</v>
      </c>
      <c r="B55" s="5" t="s">
        <v>9</v>
      </c>
      <c r="C55" s="5">
        <v>1</v>
      </c>
      <c r="D55" s="6" t="s">
        <v>10</v>
      </c>
      <c r="E55" s="6">
        <v>985.61599999999999</v>
      </c>
      <c r="H55" s="5">
        <v>9</v>
      </c>
      <c r="I55" s="5" t="s">
        <v>9</v>
      </c>
      <c r="J55" s="5">
        <v>512</v>
      </c>
      <c r="K55" s="6" t="s">
        <v>10</v>
      </c>
      <c r="L55" s="6">
        <v>19.353999999999999</v>
      </c>
      <c r="O55" s="5">
        <v>9</v>
      </c>
      <c r="P55" s="5" t="s">
        <v>9</v>
      </c>
      <c r="Q55" s="5">
        <v>1024</v>
      </c>
      <c r="R55" s="6" t="s">
        <v>10</v>
      </c>
      <c r="S55" s="6">
        <v>18.302</v>
      </c>
      <c r="V55" s="3">
        <v>18</v>
      </c>
      <c r="W55" s="3" t="s">
        <v>9</v>
      </c>
      <c r="X55" s="3" t="s">
        <v>7</v>
      </c>
      <c r="Y55" s="4">
        <v>16.491</v>
      </c>
    </row>
    <row r="56" spans="1:25">
      <c r="A56" s="3">
        <v>10</v>
      </c>
      <c r="B56" s="3" t="s">
        <v>5</v>
      </c>
      <c r="C56" s="3">
        <v>1</v>
      </c>
      <c r="D56" s="4" t="s">
        <v>6</v>
      </c>
      <c r="E56" s="8">
        <v>1E-3</v>
      </c>
      <c r="H56" s="3">
        <v>10</v>
      </c>
      <c r="I56" s="3" t="s">
        <v>5</v>
      </c>
      <c r="J56" s="3">
        <v>512</v>
      </c>
      <c r="K56" s="4" t="s">
        <v>6</v>
      </c>
      <c r="L56" s="8">
        <v>1E-3</v>
      </c>
      <c r="O56" s="3">
        <v>10</v>
      </c>
      <c r="P56" s="3" t="s">
        <v>5</v>
      </c>
      <c r="Q56" s="3">
        <v>1024</v>
      </c>
      <c r="R56" s="4" t="s">
        <v>6</v>
      </c>
      <c r="S56" s="8">
        <v>1E-3</v>
      </c>
      <c r="V56" s="5">
        <v>19</v>
      </c>
      <c r="W56" s="5" t="s">
        <v>5</v>
      </c>
      <c r="X56" s="5" t="s">
        <v>7</v>
      </c>
      <c r="Y56" s="6">
        <v>2E-3</v>
      </c>
    </row>
    <row r="57" spans="1:25">
      <c r="A57" s="3">
        <v>10</v>
      </c>
      <c r="B57" s="3" t="s">
        <v>8</v>
      </c>
      <c r="C57" s="3">
        <v>1</v>
      </c>
      <c r="D57" s="4" t="s">
        <v>6</v>
      </c>
      <c r="E57" s="4">
        <v>4.4960000000000004</v>
      </c>
      <c r="H57" s="3">
        <v>10</v>
      </c>
      <c r="I57" s="3" t="s">
        <v>8</v>
      </c>
      <c r="J57" s="3">
        <v>512</v>
      </c>
      <c r="K57" s="4" t="s">
        <v>6</v>
      </c>
      <c r="L57" s="4">
        <v>0.46200000000000002</v>
      </c>
      <c r="O57" s="3">
        <v>10</v>
      </c>
      <c r="P57" s="3" t="s">
        <v>8</v>
      </c>
      <c r="Q57" s="3">
        <v>1024</v>
      </c>
      <c r="R57" s="4" t="s">
        <v>6</v>
      </c>
      <c r="S57" s="4">
        <v>0.49199999999999999</v>
      </c>
      <c r="V57" s="5">
        <v>19</v>
      </c>
      <c r="W57" s="5" t="s">
        <v>8</v>
      </c>
      <c r="X57" s="5" t="s">
        <v>7</v>
      </c>
      <c r="Y57" s="6">
        <v>0.42499999999999999</v>
      </c>
    </row>
    <row r="58" spans="1:25">
      <c r="A58" s="3">
        <v>10</v>
      </c>
      <c r="B58" s="3" t="s">
        <v>9</v>
      </c>
      <c r="C58" s="3">
        <v>1</v>
      </c>
      <c r="D58" s="4" t="s">
        <v>6</v>
      </c>
      <c r="E58" s="4">
        <v>53.148000000000003</v>
      </c>
      <c r="H58" s="3">
        <v>10</v>
      </c>
      <c r="I58" s="3" t="s">
        <v>9</v>
      </c>
      <c r="J58" s="3">
        <v>512</v>
      </c>
      <c r="K58" s="4" t="s">
        <v>6</v>
      </c>
      <c r="L58" s="4">
        <v>17.190999999999999</v>
      </c>
      <c r="O58" s="3">
        <v>10</v>
      </c>
      <c r="P58" s="3" t="s">
        <v>9</v>
      </c>
      <c r="Q58" s="3">
        <v>1024</v>
      </c>
      <c r="R58" s="4" t="s">
        <v>6</v>
      </c>
      <c r="S58" s="4">
        <v>18.861000000000001</v>
      </c>
      <c r="V58" s="5">
        <v>19</v>
      </c>
      <c r="W58" s="5" t="s">
        <v>9</v>
      </c>
      <c r="X58" s="5" t="s">
        <v>7</v>
      </c>
      <c r="Y58" s="6">
        <v>15.398</v>
      </c>
    </row>
    <row r="59" spans="1:25">
      <c r="A59" s="5">
        <v>10</v>
      </c>
      <c r="B59" s="5" t="s">
        <v>5</v>
      </c>
      <c r="C59" s="5">
        <v>1</v>
      </c>
      <c r="D59" s="6" t="s">
        <v>10</v>
      </c>
      <c r="E59" s="7">
        <v>1E-3</v>
      </c>
      <c r="H59" s="5">
        <v>10</v>
      </c>
      <c r="I59" s="5" t="s">
        <v>5</v>
      </c>
      <c r="J59" s="5">
        <v>512</v>
      </c>
      <c r="K59" s="6" t="s">
        <v>10</v>
      </c>
      <c r="L59" s="7">
        <v>1E-3</v>
      </c>
      <c r="O59" s="5">
        <v>10</v>
      </c>
      <c r="P59" s="5" t="s">
        <v>5</v>
      </c>
      <c r="Q59" s="5">
        <v>1024</v>
      </c>
      <c r="R59" s="6" t="s">
        <v>10</v>
      </c>
      <c r="S59" s="7">
        <v>1E-3</v>
      </c>
      <c r="V59" s="3">
        <v>20</v>
      </c>
      <c r="W59" s="3" t="s">
        <v>5</v>
      </c>
      <c r="X59" s="3" t="s">
        <v>7</v>
      </c>
      <c r="Y59" s="9">
        <v>6.0000000000000001E-3</v>
      </c>
    </row>
    <row r="60" spans="1:25">
      <c r="A60" s="5">
        <v>10</v>
      </c>
      <c r="B60" s="5" t="s">
        <v>8</v>
      </c>
      <c r="C60" s="5">
        <v>1</v>
      </c>
      <c r="D60" s="6" t="s">
        <v>10</v>
      </c>
      <c r="E60" s="6">
        <v>100.91200000000001</v>
      </c>
      <c r="H60" s="5">
        <v>10</v>
      </c>
      <c r="I60" s="5" t="s">
        <v>8</v>
      </c>
      <c r="J60" s="5">
        <v>512</v>
      </c>
      <c r="K60" s="6" t="s">
        <v>10</v>
      </c>
      <c r="L60" s="6">
        <v>0.58199999999999996</v>
      </c>
      <c r="O60" s="5">
        <v>10</v>
      </c>
      <c r="P60" s="5" t="s">
        <v>8</v>
      </c>
      <c r="Q60" s="5">
        <v>1024</v>
      </c>
      <c r="R60" s="6" t="s">
        <v>10</v>
      </c>
      <c r="S60" s="6">
        <v>0.48199999999999998</v>
      </c>
      <c r="V60" s="3">
        <v>20</v>
      </c>
      <c r="W60" s="3" t="s">
        <v>8</v>
      </c>
      <c r="X60" s="3" t="s">
        <v>7</v>
      </c>
      <c r="Y60" s="4">
        <v>0.42799999999999999</v>
      </c>
    </row>
    <row r="61" spans="1:25">
      <c r="A61" s="5">
        <v>10</v>
      </c>
      <c r="B61" s="5" t="s">
        <v>9</v>
      </c>
      <c r="C61" s="5">
        <v>1</v>
      </c>
      <c r="D61" s="6" t="s">
        <v>10</v>
      </c>
      <c r="E61" s="6">
        <v>1024.627</v>
      </c>
      <c r="H61" s="5">
        <v>10</v>
      </c>
      <c r="I61" s="5" t="s">
        <v>9</v>
      </c>
      <c r="J61" s="5">
        <v>512</v>
      </c>
      <c r="K61" s="6" t="s">
        <v>10</v>
      </c>
      <c r="L61" s="6">
        <v>19.085999999999999</v>
      </c>
      <c r="O61" s="5">
        <v>10</v>
      </c>
      <c r="P61" s="5" t="s">
        <v>9</v>
      </c>
      <c r="Q61" s="5">
        <v>1024</v>
      </c>
      <c r="R61" s="6" t="s">
        <v>10</v>
      </c>
      <c r="S61" s="6">
        <v>18.510999999999999</v>
      </c>
      <c r="V61" s="3">
        <v>20</v>
      </c>
      <c r="W61" s="3" t="s">
        <v>9</v>
      </c>
      <c r="X61" s="3" t="s">
        <v>7</v>
      </c>
      <c r="Y61" s="4">
        <v>14.122999999999999</v>
      </c>
    </row>
    <row r="62" spans="1:25">
      <c r="A62" s="3">
        <v>11</v>
      </c>
      <c r="B62" s="3" t="s">
        <v>5</v>
      </c>
      <c r="C62" s="3">
        <v>1</v>
      </c>
      <c r="D62" s="4" t="s">
        <v>6</v>
      </c>
      <c r="E62" s="8">
        <v>1E-3</v>
      </c>
      <c r="H62" s="3">
        <v>11</v>
      </c>
      <c r="I62" s="3" t="s">
        <v>5</v>
      </c>
      <c r="J62" s="3">
        <v>512</v>
      </c>
      <c r="K62" s="4" t="s">
        <v>6</v>
      </c>
      <c r="L62" s="8">
        <v>1E-3</v>
      </c>
      <c r="O62" s="3">
        <v>11</v>
      </c>
      <c r="P62" s="3" t="s">
        <v>5</v>
      </c>
      <c r="Q62" s="3">
        <v>1024</v>
      </c>
      <c r="R62" s="4" t="s">
        <v>6</v>
      </c>
      <c r="S62" s="8">
        <v>1E-3</v>
      </c>
    </row>
    <row r="63" spans="1:25">
      <c r="A63" s="3">
        <v>11</v>
      </c>
      <c r="B63" s="3" t="s">
        <v>8</v>
      </c>
      <c r="C63" s="3">
        <v>1</v>
      </c>
      <c r="D63" s="4" t="s">
        <v>6</v>
      </c>
      <c r="E63" s="4">
        <v>4.5869999999999997</v>
      </c>
      <c r="H63" s="3">
        <v>11</v>
      </c>
      <c r="I63" s="3" t="s">
        <v>8</v>
      </c>
      <c r="J63" s="3">
        <v>512</v>
      </c>
      <c r="K63" s="4" t="s">
        <v>6</v>
      </c>
      <c r="L63" s="4">
        <v>0.53300000000000003</v>
      </c>
      <c r="O63" s="3">
        <v>11</v>
      </c>
      <c r="P63" s="3" t="s">
        <v>8</v>
      </c>
      <c r="Q63" s="3">
        <v>1024</v>
      </c>
      <c r="R63" s="4" t="s">
        <v>6</v>
      </c>
      <c r="S63" s="4">
        <v>0.54800000000000004</v>
      </c>
    </row>
    <row r="64" spans="1:25">
      <c r="A64" s="3">
        <v>11</v>
      </c>
      <c r="B64" s="3" t="s">
        <v>9</v>
      </c>
      <c r="C64" s="3">
        <v>1</v>
      </c>
      <c r="D64" s="4" t="s">
        <v>6</v>
      </c>
      <c r="E64" s="4">
        <v>52.573999999999998</v>
      </c>
      <c r="H64" s="3">
        <v>11</v>
      </c>
      <c r="I64" s="3" t="s">
        <v>9</v>
      </c>
      <c r="J64" s="3">
        <v>512</v>
      </c>
      <c r="K64" s="4" t="s">
        <v>6</v>
      </c>
      <c r="L64" s="4">
        <v>19.04</v>
      </c>
      <c r="O64" s="3">
        <v>11</v>
      </c>
      <c r="P64" s="3" t="s">
        <v>9</v>
      </c>
      <c r="Q64" s="3">
        <v>1024</v>
      </c>
      <c r="R64" s="4" t="s">
        <v>6</v>
      </c>
      <c r="S64" s="4">
        <v>18.053000000000001</v>
      </c>
    </row>
    <row r="65" spans="1:23">
      <c r="A65" s="5">
        <v>11</v>
      </c>
      <c r="B65" s="5" t="s">
        <v>5</v>
      </c>
      <c r="C65" s="5">
        <v>1</v>
      </c>
      <c r="D65" s="6" t="s">
        <v>10</v>
      </c>
      <c r="E65" s="7">
        <v>1E-3</v>
      </c>
      <c r="H65" s="5">
        <v>11</v>
      </c>
      <c r="I65" s="5" t="s">
        <v>5</v>
      </c>
      <c r="J65" s="5">
        <v>512</v>
      </c>
      <c r="K65" s="6" t="s">
        <v>10</v>
      </c>
      <c r="L65" s="7">
        <v>6.0000000000000001E-3</v>
      </c>
      <c r="O65" s="5">
        <v>11</v>
      </c>
      <c r="P65" s="5" t="s">
        <v>5</v>
      </c>
      <c r="Q65" s="5">
        <v>1024</v>
      </c>
      <c r="R65" s="6" t="s">
        <v>10</v>
      </c>
      <c r="S65" s="7">
        <v>6.0000000000000001E-3</v>
      </c>
      <c r="V65" s="1" t="s">
        <v>11</v>
      </c>
    </row>
    <row r="66" spans="1:23">
      <c r="A66" s="5">
        <v>11</v>
      </c>
      <c r="B66" s="5" t="s">
        <v>8</v>
      </c>
      <c r="C66" s="5">
        <v>1</v>
      </c>
      <c r="D66" s="6" t="s">
        <v>10</v>
      </c>
      <c r="E66" s="6">
        <v>101.27800000000001</v>
      </c>
      <c r="H66" s="5">
        <v>11</v>
      </c>
      <c r="I66" s="5" t="s">
        <v>8</v>
      </c>
      <c r="J66" s="5">
        <v>512</v>
      </c>
      <c r="K66" s="6" t="s">
        <v>10</v>
      </c>
      <c r="L66" s="6">
        <v>0.58299999999999996</v>
      </c>
      <c r="O66" s="5">
        <v>11</v>
      </c>
      <c r="P66" s="5" t="s">
        <v>8</v>
      </c>
      <c r="Q66" s="5">
        <v>1024</v>
      </c>
      <c r="R66" s="6" t="s">
        <v>10</v>
      </c>
      <c r="S66" s="6">
        <v>0.48399999999999999</v>
      </c>
      <c r="V66" s="1" t="s">
        <v>12</v>
      </c>
      <c r="W66" s="1">
        <f>AVERAGE(Y2,Y5,Y8,Y11,Y14,Y17,Y20,Y23,Y26,Y29,Y32,Y35,Y38,Y41,Y44,Y47,Y50,Y53,Y56)</f>
        <v>1.9473684210526323E-3</v>
      </c>
    </row>
    <row r="67" spans="1:23">
      <c r="A67" s="5">
        <v>11</v>
      </c>
      <c r="B67" s="5" t="s">
        <v>9</v>
      </c>
      <c r="C67" s="5">
        <v>1</v>
      </c>
      <c r="D67" s="6" t="s">
        <v>10</v>
      </c>
      <c r="E67" s="6">
        <v>1002.513</v>
      </c>
      <c r="H67" s="5">
        <v>11</v>
      </c>
      <c r="I67" s="5" t="s">
        <v>9</v>
      </c>
      <c r="J67" s="5">
        <v>512</v>
      </c>
      <c r="K67" s="6" t="s">
        <v>10</v>
      </c>
      <c r="L67" s="6">
        <v>19.321999999999999</v>
      </c>
      <c r="O67" s="5">
        <v>11</v>
      </c>
      <c r="P67" s="5" t="s">
        <v>9</v>
      </c>
      <c r="Q67" s="5">
        <v>1024</v>
      </c>
      <c r="R67" s="6" t="s">
        <v>10</v>
      </c>
      <c r="S67" s="6">
        <v>17.672000000000001</v>
      </c>
      <c r="V67" s="1" t="s">
        <v>13</v>
      </c>
      <c r="W67" s="1">
        <f>AVERAGE(Y9,Y15,Y21,Y27,Y33,Y39,Y45,Y51,Y57,Y6,Y12,Y18,Y24,Y30,Y36,Y42,Y48,Y54,Y60)</f>
        <v>0.4253157894736842</v>
      </c>
    </row>
    <row r="68" spans="1:23">
      <c r="A68" s="3">
        <v>12</v>
      </c>
      <c r="B68" s="3" t="s">
        <v>5</v>
      </c>
      <c r="C68" s="3">
        <v>1</v>
      </c>
      <c r="D68" s="4" t="s">
        <v>6</v>
      </c>
      <c r="E68" s="8">
        <v>1E-3</v>
      </c>
      <c r="H68" s="3">
        <v>12</v>
      </c>
      <c r="I68" s="3" t="s">
        <v>5</v>
      </c>
      <c r="J68" s="3">
        <v>512</v>
      </c>
      <c r="K68" s="4" t="s">
        <v>6</v>
      </c>
      <c r="L68" s="8">
        <v>1E-3</v>
      </c>
      <c r="O68" s="3">
        <v>12</v>
      </c>
      <c r="P68" s="3" t="s">
        <v>5</v>
      </c>
      <c r="Q68" s="3">
        <v>1024</v>
      </c>
      <c r="R68" s="4" t="s">
        <v>6</v>
      </c>
      <c r="S68" s="8">
        <v>1E-3</v>
      </c>
      <c r="V68" s="1" t="s">
        <v>14</v>
      </c>
      <c r="W68" s="1">
        <f>AVERAGE(Y4,Y7,Y10,Y13,Y16,Y19,Y22,Y25,Y28,Y31,Y34,Y37,Y40,Y43,Y46,Y49,Y52,Y55,Y58,Y61)</f>
        <v>14.79055</v>
      </c>
    </row>
    <row r="69" spans="1:23">
      <c r="A69" s="3">
        <v>12</v>
      </c>
      <c r="B69" s="3" t="s">
        <v>8</v>
      </c>
      <c r="C69" s="3">
        <v>1</v>
      </c>
      <c r="D69" s="4" t="s">
        <v>6</v>
      </c>
      <c r="E69" s="4">
        <v>4.4790000000000001</v>
      </c>
      <c r="H69" s="3">
        <v>12</v>
      </c>
      <c r="I69" s="3" t="s">
        <v>8</v>
      </c>
      <c r="J69" s="3">
        <v>512</v>
      </c>
      <c r="K69" s="4" t="s">
        <v>6</v>
      </c>
      <c r="L69" s="4">
        <v>0.46700000000000003</v>
      </c>
      <c r="O69" s="3">
        <v>12</v>
      </c>
      <c r="P69" s="3" t="s">
        <v>8</v>
      </c>
      <c r="Q69" s="3">
        <v>1024</v>
      </c>
      <c r="R69" s="4" t="s">
        <v>6</v>
      </c>
      <c r="S69" s="4">
        <v>0.50700000000000001</v>
      </c>
    </row>
    <row r="70" spans="1:23">
      <c r="A70" s="3">
        <v>12</v>
      </c>
      <c r="B70" s="3" t="s">
        <v>9</v>
      </c>
      <c r="C70" s="3">
        <v>1</v>
      </c>
      <c r="D70" s="4" t="s">
        <v>6</v>
      </c>
      <c r="E70" s="4">
        <v>53.067999999999998</v>
      </c>
      <c r="H70" s="3">
        <v>12</v>
      </c>
      <c r="I70" s="3" t="s">
        <v>9</v>
      </c>
      <c r="J70" s="3">
        <v>512</v>
      </c>
      <c r="K70" s="4" t="s">
        <v>6</v>
      </c>
      <c r="L70" s="4">
        <v>17.725000000000001</v>
      </c>
      <c r="O70" s="3">
        <v>12</v>
      </c>
      <c r="P70" s="3" t="s">
        <v>9</v>
      </c>
      <c r="Q70" s="3">
        <v>1024</v>
      </c>
      <c r="R70" s="4" t="s">
        <v>6</v>
      </c>
      <c r="S70" s="4">
        <v>17.725999999999999</v>
      </c>
    </row>
    <row r="71" spans="1:23">
      <c r="A71" s="5">
        <v>12</v>
      </c>
      <c r="B71" s="5" t="s">
        <v>5</v>
      </c>
      <c r="C71" s="5">
        <v>1</v>
      </c>
      <c r="D71" s="6" t="s">
        <v>10</v>
      </c>
      <c r="E71" s="6">
        <v>2E-3</v>
      </c>
      <c r="H71" s="5">
        <v>12</v>
      </c>
      <c r="I71" s="5" t="s">
        <v>5</v>
      </c>
      <c r="J71" s="5">
        <v>512</v>
      </c>
      <c r="K71" s="6" t="s">
        <v>10</v>
      </c>
      <c r="L71" s="6">
        <v>1E-3</v>
      </c>
      <c r="O71" s="5">
        <v>12</v>
      </c>
      <c r="P71" s="5" t="s">
        <v>5</v>
      </c>
      <c r="Q71" s="5">
        <v>1024</v>
      </c>
      <c r="R71" s="6" t="s">
        <v>10</v>
      </c>
      <c r="S71" s="6">
        <v>2E-3</v>
      </c>
    </row>
    <row r="72" spans="1:23">
      <c r="A72" s="5">
        <v>12</v>
      </c>
      <c r="B72" s="5" t="s">
        <v>8</v>
      </c>
      <c r="C72" s="5">
        <v>1</v>
      </c>
      <c r="D72" s="6" t="s">
        <v>10</v>
      </c>
      <c r="E72" s="6">
        <v>101.373</v>
      </c>
      <c r="H72" s="5">
        <v>12</v>
      </c>
      <c r="I72" s="5" t="s">
        <v>8</v>
      </c>
      <c r="J72" s="5">
        <v>512</v>
      </c>
      <c r="K72" s="6" t="s">
        <v>10</v>
      </c>
      <c r="L72" s="6">
        <v>0.58099999999999996</v>
      </c>
      <c r="O72" s="5">
        <v>12</v>
      </c>
      <c r="P72" s="5" t="s">
        <v>8</v>
      </c>
      <c r="Q72" s="5">
        <v>1024</v>
      </c>
      <c r="R72" s="6" t="s">
        <v>10</v>
      </c>
      <c r="S72" s="6">
        <v>0.48399999999999999</v>
      </c>
    </row>
    <row r="73" spans="1:23">
      <c r="A73" s="5">
        <v>12</v>
      </c>
      <c r="B73" s="5" t="s">
        <v>9</v>
      </c>
      <c r="C73" s="5">
        <v>1</v>
      </c>
      <c r="D73" s="6" t="s">
        <v>10</v>
      </c>
      <c r="E73" s="6">
        <v>1000.121</v>
      </c>
      <c r="H73" s="5">
        <v>12</v>
      </c>
      <c r="I73" s="5" t="s">
        <v>9</v>
      </c>
      <c r="J73" s="5">
        <v>512</v>
      </c>
      <c r="K73" s="6" t="s">
        <v>10</v>
      </c>
      <c r="L73" s="6">
        <v>19.204000000000001</v>
      </c>
      <c r="O73" s="5">
        <v>12</v>
      </c>
      <c r="P73" s="5" t="s">
        <v>9</v>
      </c>
      <c r="Q73" s="5">
        <v>1024</v>
      </c>
      <c r="R73" s="6" t="s">
        <v>10</v>
      </c>
      <c r="S73" s="6">
        <v>18.640999999999998</v>
      </c>
    </row>
    <row r="74" spans="1:23">
      <c r="A74" s="3">
        <v>13</v>
      </c>
      <c r="B74" s="3" t="s">
        <v>5</v>
      </c>
      <c r="C74" s="3">
        <v>1</v>
      </c>
      <c r="D74" s="4" t="s">
        <v>6</v>
      </c>
      <c r="E74" s="8">
        <v>1E-3</v>
      </c>
      <c r="H74" s="3">
        <v>13</v>
      </c>
      <c r="I74" s="3" t="s">
        <v>5</v>
      </c>
      <c r="J74" s="3">
        <v>512</v>
      </c>
      <c r="K74" s="4" t="s">
        <v>6</v>
      </c>
      <c r="L74" s="8">
        <v>2E-3</v>
      </c>
      <c r="O74" s="3">
        <v>13</v>
      </c>
      <c r="P74" s="3" t="s">
        <v>5</v>
      </c>
      <c r="Q74" s="3">
        <v>1024</v>
      </c>
      <c r="R74" s="4" t="s">
        <v>6</v>
      </c>
      <c r="S74" s="8">
        <v>2E-3</v>
      </c>
    </row>
    <row r="75" spans="1:23">
      <c r="A75" s="3">
        <v>13</v>
      </c>
      <c r="B75" s="3" t="s">
        <v>8</v>
      </c>
      <c r="C75" s="3">
        <v>1</v>
      </c>
      <c r="D75" s="4" t="s">
        <v>6</v>
      </c>
      <c r="E75" s="4">
        <v>4.4820000000000002</v>
      </c>
      <c r="H75" s="3">
        <v>13</v>
      </c>
      <c r="I75" s="3" t="s">
        <v>8</v>
      </c>
      <c r="J75" s="3">
        <v>512</v>
      </c>
      <c r="K75" s="4" t="s">
        <v>6</v>
      </c>
      <c r="L75" s="4">
        <v>0.53800000000000003</v>
      </c>
      <c r="O75" s="3">
        <v>13</v>
      </c>
      <c r="P75" s="3" t="s">
        <v>8</v>
      </c>
      <c r="Q75" s="3">
        <v>1024</v>
      </c>
      <c r="R75" s="4" t="s">
        <v>6</v>
      </c>
      <c r="S75" s="4">
        <v>0.51900000000000002</v>
      </c>
    </row>
    <row r="76" spans="1:23">
      <c r="A76" s="3">
        <v>13</v>
      </c>
      <c r="B76" s="3" t="s">
        <v>9</v>
      </c>
      <c r="C76" s="3">
        <v>1</v>
      </c>
      <c r="D76" s="4" t="s">
        <v>6</v>
      </c>
      <c r="E76" s="4">
        <v>52.234999999999999</v>
      </c>
      <c r="H76" s="3">
        <v>13</v>
      </c>
      <c r="I76" s="3" t="s">
        <v>9</v>
      </c>
      <c r="J76" s="3">
        <v>512</v>
      </c>
      <c r="K76" s="4" t="s">
        <v>6</v>
      </c>
      <c r="L76" s="4">
        <v>19.350999999999999</v>
      </c>
      <c r="O76" s="3">
        <v>13</v>
      </c>
      <c r="P76" s="3" t="s">
        <v>9</v>
      </c>
      <c r="Q76" s="3">
        <v>1024</v>
      </c>
      <c r="R76" s="4" t="s">
        <v>6</v>
      </c>
      <c r="S76" s="4">
        <v>18.692</v>
      </c>
    </row>
    <row r="77" spans="1:23">
      <c r="A77" s="5">
        <v>13</v>
      </c>
      <c r="B77" s="5" t="s">
        <v>5</v>
      </c>
      <c r="C77" s="5">
        <v>1</v>
      </c>
      <c r="D77" s="6" t="s">
        <v>10</v>
      </c>
      <c r="E77" s="6">
        <v>2E-3</v>
      </c>
      <c r="H77" s="5">
        <v>13</v>
      </c>
      <c r="I77" s="5" t="s">
        <v>5</v>
      </c>
      <c r="J77" s="5">
        <v>512</v>
      </c>
      <c r="K77" s="6" t="s">
        <v>10</v>
      </c>
      <c r="L77" s="6">
        <v>1E-3</v>
      </c>
      <c r="O77" s="5">
        <v>13</v>
      </c>
      <c r="P77" s="5" t="s">
        <v>5</v>
      </c>
      <c r="Q77" s="5">
        <v>1024</v>
      </c>
      <c r="R77" s="6" t="s">
        <v>10</v>
      </c>
      <c r="S77" s="6">
        <v>2E-3</v>
      </c>
    </row>
    <row r="78" spans="1:23">
      <c r="A78" s="5">
        <v>13</v>
      </c>
      <c r="B78" s="5" t="s">
        <v>8</v>
      </c>
      <c r="C78" s="5">
        <v>1</v>
      </c>
      <c r="D78" s="6" t="s">
        <v>10</v>
      </c>
      <c r="E78" s="9">
        <v>106.518</v>
      </c>
      <c r="H78" s="5">
        <v>13</v>
      </c>
      <c r="I78" s="5" t="s">
        <v>8</v>
      </c>
      <c r="J78" s="5">
        <v>512</v>
      </c>
      <c r="K78" s="6" t="s">
        <v>10</v>
      </c>
      <c r="L78" s="6">
        <v>0.57999999999999996</v>
      </c>
      <c r="O78" s="5">
        <v>13</v>
      </c>
      <c r="P78" s="5" t="s">
        <v>8</v>
      </c>
      <c r="Q78" s="5">
        <v>1024</v>
      </c>
      <c r="R78" s="6" t="s">
        <v>10</v>
      </c>
      <c r="S78" s="6">
        <v>0.48299999999999998</v>
      </c>
    </row>
    <row r="79" spans="1:23">
      <c r="A79" s="5">
        <v>13</v>
      </c>
      <c r="B79" s="5" t="s">
        <v>9</v>
      </c>
      <c r="C79" s="5">
        <v>1</v>
      </c>
      <c r="D79" s="6" t="s">
        <v>10</v>
      </c>
      <c r="E79" s="6">
        <v>1003.175</v>
      </c>
      <c r="H79" s="5">
        <v>13</v>
      </c>
      <c r="I79" s="5" t="s">
        <v>9</v>
      </c>
      <c r="J79" s="5">
        <v>512</v>
      </c>
      <c r="K79" s="6" t="s">
        <v>10</v>
      </c>
      <c r="L79" s="6">
        <v>19.358000000000001</v>
      </c>
      <c r="O79" s="5">
        <v>13</v>
      </c>
      <c r="P79" s="5" t="s">
        <v>9</v>
      </c>
      <c r="Q79" s="5">
        <v>1024</v>
      </c>
      <c r="R79" s="6" t="s">
        <v>10</v>
      </c>
      <c r="S79" s="6">
        <v>18.292000000000002</v>
      </c>
    </row>
    <row r="80" spans="1:23">
      <c r="A80" s="3">
        <v>14</v>
      </c>
      <c r="B80" s="3" t="s">
        <v>5</v>
      </c>
      <c r="C80" s="3">
        <v>1</v>
      </c>
      <c r="D80" s="4" t="s">
        <v>6</v>
      </c>
      <c r="E80" s="9">
        <v>6.0000000000000001E-3</v>
      </c>
      <c r="H80" s="3">
        <v>14</v>
      </c>
      <c r="I80" s="3" t="s">
        <v>5</v>
      </c>
      <c r="J80" s="3">
        <v>512</v>
      </c>
      <c r="K80" s="4" t="s">
        <v>6</v>
      </c>
      <c r="L80" s="4">
        <v>1E-3</v>
      </c>
      <c r="O80" s="3">
        <v>14</v>
      </c>
      <c r="P80" s="3" t="s">
        <v>5</v>
      </c>
      <c r="Q80" s="3">
        <v>1024</v>
      </c>
      <c r="R80" s="4" t="s">
        <v>6</v>
      </c>
      <c r="S80" s="4">
        <v>1E-3</v>
      </c>
    </row>
    <row r="81" spans="1:19">
      <c r="A81" s="3">
        <v>14</v>
      </c>
      <c r="B81" s="3" t="s">
        <v>8</v>
      </c>
      <c r="C81" s="3">
        <v>1</v>
      </c>
      <c r="D81" s="4" t="s">
        <v>6</v>
      </c>
      <c r="E81" s="4">
        <v>4.51</v>
      </c>
      <c r="H81" s="3">
        <v>14</v>
      </c>
      <c r="I81" s="3" t="s">
        <v>8</v>
      </c>
      <c r="J81" s="3">
        <v>512</v>
      </c>
      <c r="K81" s="4" t="s">
        <v>6</v>
      </c>
      <c r="L81" s="4">
        <v>0.46700000000000003</v>
      </c>
      <c r="O81" s="3">
        <v>14</v>
      </c>
      <c r="P81" s="3" t="s">
        <v>8</v>
      </c>
      <c r="Q81" s="3">
        <v>1024</v>
      </c>
      <c r="R81" s="4" t="s">
        <v>6</v>
      </c>
      <c r="S81" s="4">
        <v>0.497</v>
      </c>
    </row>
    <row r="82" spans="1:19">
      <c r="A82" s="3">
        <v>14</v>
      </c>
      <c r="B82" s="3" t="s">
        <v>9</v>
      </c>
      <c r="C82" s="3">
        <v>1</v>
      </c>
      <c r="D82" s="4" t="s">
        <v>6</v>
      </c>
      <c r="E82" s="4">
        <v>53.000999999999998</v>
      </c>
      <c r="H82" s="3">
        <v>14</v>
      </c>
      <c r="I82" s="3" t="s">
        <v>9</v>
      </c>
      <c r="J82" s="3">
        <v>512</v>
      </c>
      <c r="K82" s="4" t="s">
        <v>6</v>
      </c>
      <c r="L82" s="4">
        <v>18.777000000000001</v>
      </c>
      <c r="O82" s="3">
        <v>14</v>
      </c>
      <c r="P82" s="3" t="s">
        <v>9</v>
      </c>
      <c r="Q82" s="3">
        <v>1024</v>
      </c>
      <c r="R82" s="4" t="s">
        <v>6</v>
      </c>
      <c r="S82" s="4">
        <v>17.978000000000002</v>
      </c>
    </row>
    <row r="83" spans="1:19">
      <c r="A83" s="5">
        <v>14</v>
      </c>
      <c r="B83" s="5" t="s">
        <v>5</v>
      </c>
      <c r="C83" s="5">
        <v>1</v>
      </c>
      <c r="D83" s="6" t="s">
        <v>10</v>
      </c>
      <c r="E83" s="6">
        <v>2E-3</v>
      </c>
      <c r="H83" s="5">
        <v>14</v>
      </c>
      <c r="I83" s="5" t="s">
        <v>5</v>
      </c>
      <c r="J83" s="5">
        <v>512</v>
      </c>
      <c r="K83" s="6" t="s">
        <v>10</v>
      </c>
      <c r="L83" s="6">
        <v>3.0000000000000001E-3</v>
      </c>
      <c r="O83" s="5">
        <v>14</v>
      </c>
      <c r="P83" s="5" t="s">
        <v>5</v>
      </c>
      <c r="Q83" s="5">
        <v>1024</v>
      </c>
      <c r="R83" s="6" t="s">
        <v>10</v>
      </c>
      <c r="S83" s="6">
        <v>3.0000000000000001E-3</v>
      </c>
    </row>
    <row r="84" spans="1:19">
      <c r="A84" s="5">
        <v>14</v>
      </c>
      <c r="B84" s="5" t="s">
        <v>8</v>
      </c>
      <c r="C84" s="5">
        <v>1</v>
      </c>
      <c r="D84" s="6" t="s">
        <v>10</v>
      </c>
      <c r="E84" s="6">
        <v>100.032</v>
      </c>
      <c r="H84" s="5">
        <v>14</v>
      </c>
      <c r="I84" s="5" t="s">
        <v>8</v>
      </c>
      <c r="J84" s="5">
        <v>512</v>
      </c>
      <c r="K84" s="6" t="s">
        <v>10</v>
      </c>
      <c r="L84" s="6">
        <v>0.57899999999999996</v>
      </c>
      <c r="O84" s="5">
        <v>14</v>
      </c>
      <c r="P84" s="5" t="s">
        <v>8</v>
      </c>
      <c r="Q84" s="5">
        <v>1024</v>
      </c>
      <c r="R84" s="6" t="s">
        <v>10</v>
      </c>
      <c r="S84" s="6">
        <v>0.48499999999999999</v>
      </c>
    </row>
    <row r="85" spans="1:19">
      <c r="A85" s="5">
        <v>14</v>
      </c>
      <c r="B85" s="5" t="s">
        <v>9</v>
      </c>
      <c r="C85" s="5">
        <v>1</v>
      </c>
      <c r="D85" s="6" t="s">
        <v>10</v>
      </c>
      <c r="E85" s="6">
        <v>999.14499999999998</v>
      </c>
      <c r="H85" s="5">
        <v>14</v>
      </c>
      <c r="I85" s="5" t="s">
        <v>9</v>
      </c>
      <c r="J85" s="5">
        <v>512</v>
      </c>
      <c r="K85" s="6" t="s">
        <v>10</v>
      </c>
      <c r="L85" s="6">
        <v>19.047000000000001</v>
      </c>
      <c r="O85" s="5">
        <v>14</v>
      </c>
      <c r="P85" s="5" t="s">
        <v>9</v>
      </c>
      <c r="Q85" s="5">
        <v>1024</v>
      </c>
      <c r="R85" s="6" t="s">
        <v>10</v>
      </c>
      <c r="S85" s="6">
        <v>18.436</v>
      </c>
    </row>
    <row r="86" spans="1:19">
      <c r="A86" s="3">
        <v>15</v>
      </c>
      <c r="B86" s="3" t="s">
        <v>5</v>
      </c>
      <c r="C86" s="3">
        <v>1</v>
      </c>
      <c r="D86" s="4" t="s">
        <v>6</v>
      </c>
      <c r="E86" s="4">
        <v>1E-3</v>
      </c>
      <c r="H86" s="3">
        <v>15</v>
      </c>
      <c r="I86" s="3" t="s">
        <v>5</v>
      </c>
      <c r="J86" s="3">
        <v>512</v>
      </c>
      <c r="K86" s="4" t="s">
        <v>6</v>
      </c>
      <c r="L86" s="4">
        <v>1E-3</v>
      </c>
      <c r="O86" s="3">
        <v>15</v>
      </c>
      <c r="P86" s="3" t="s">
        <v>5</v>
      </c>
      <c r="Q86" s="3">
        <v>1024</v>
      </c>
      <c r="R86" s="4" t="s">
        <v>6</v>
      </c>
      <c r="S86" s="4">
        <v>2E-3</v>
      </c>
    </row>
    <row r="87" spans="1:19">
      <c r="A87" s="3">
        <v>15</v>
      </c>
      <c r="B87" s="3" t="s">
        <v>8</v>
      </c>
      <c r="C87" s="3">
        <v>1</v>
      </c>
      <c r="D87" s="4" t="s">
        <v>6</v>
      </c>
      <c r="E87" s="4">
        <v>4.5259999999999998</v>
      </c>
      <c r="H87" s="3">
        <v>15</v>
      </c>
      <c r="I87" s="3" t="s">
        <v>8</v>
      </c>
      <c r="J87" s="3">
        <v>512</v>
      </c>
      <c r="K87" s="4" t="s">
        <v>6</v>
      </c>
      <c r="L87" s="4">
        <v>0.53500000000000003</v>
      </c>
      <c r="O87" s="3">
        <v>15</v>
      </c>
      <c r="P87" s="3" t="s">
        <v>8</v>
      </c>
      <c r="Q87" s="3">
        <v>1024</v>
      </c>
      <c r="R87" s="4" t="s">
        <v>6</v>
      </c>
      <c r="S87" s="4">
        <v>0.502</v>
      </c>
    </row>
    <row r="88" spans="1:19">
      <c r="A88" s="3">
        <v>15</v>
      </c>
      <c r="B88" s="3" t="s">
        <v>9</v>
      </c>
      <c r="C88" s="3">
        <v>1</v>
      </c>
      <c r="D88" s="4" t="s">
        <v>6</v>
      </c>
      <c r="E88" s="4">
        <v>52.762</v>
      </c>
      <c r="H88" s="3">
        <v>15</v>
      </c>
      <c r="I88" s="3" t="s">
        <v>9</v>
      </c>
      <c r="J88" s="3">
        <v>512</v>
      </c>
      <c r="K88" s="4" t="s">
        <v>6</v>
      </c>
      <c r="L88" s="4">
        <v>18.905000000000001</v>
      </c>
      <c r="O88" s="3">
        <v>15</v>
      </c>
      <c r="P88" s="3" t="s">
        <v>9</v>
      </c>
      <c r="Q88" s="3">
        <v>1024</v>
      </c>
      <c r="R88" s="4" t="s">
        <v>6</v>
      </c>
      <c r="S88" s="4">
        <v>19.134</v>
      </c>
    </row>
    <row r="89" spans="1:19">
      <c r="A89" s="5">
        <v>15</v>
      </c>
      <c r="B89" s="5" t="s">
        <v>5</v>
      </c>
      <c r="C89" s="5">
        <v>1</v>
      </c>
      <c r="D89" s="6" t="s">
        <v>10</v>
      </c>
      <c r="E89" s="6">
        <v>2E-3</v>
      </c>
      <c r="H89" s="5">
        <v>15</v>
      </c>
      <c r="I89" s="5" t="s">
        <v>5</v>
      </c>
      <c r="J89" s="5">
        <v>512</v>
      </c>
      <c r="K89" s="6" t="s">
        <v>10</v>
      </c>
      <c r="L89" s="6">
        <v>1E-3</v>
      </c>
      <c r="O89" s="5">
        <v>15</v>
      </c>
      <c r="P89" s="5" t="s">
        <v>5</v>
      </c>
      <c r="Q89" s="5">
        <v>1024</v>
      </c>
      <c r="R89" s="6" t="s">
        <v>10</v>
      </c>
      <c r="S89" s="6">
        <v>1E-3</v>
      </c>
    </row>
    <row r="90" spans="1:19">
      <c r="A90" s="5">
        <v>15</v>
      </c>
      <c r="B90" s="5" t="s">
        <v>8</v>
      </c>
      <c r="C90" s="5">
        <v>1</v>
      </c>
      <c r="D90" s="6" t="s">
        <v>10</v>
      </c>
      <c r="E90" s="6">
        <v>101.339</v>
      </c>
      <c r="H90" s="5">
        <v>15</v>
      </c>
      <c r="I90" s="5" t="s">
        <v>8</v>
      </c>
      <c r="J90" s="5">
        <v>512</v>
      </c>
      <c r="K90" s="6" t="s">
        <v>10</v>
      </c>
      <c r="L90" s="6">
        <v>0.57599999999999996</v>
      </c>
      <c r="O90" s="5">
        <v>15</v>
      </c>
      <c r="P90" s="5" t="s">
        <v>8</v>
      </c>
      <c r="Q90" s="5">
        <v>1024</v>
      </c>
      <c r="R90" s="6" t="s">
        <v>10</v>
      </c>
      <c r="S90" s="6">
        <v>0.47299999999999998</v>
      </c>
    </row>
    <row r="91" spans="1:19">
      <c r="A91" s="5">
        <v>15</v>
      </c>
      <c r="B91" s="5" t="s">
        <v>9</v>
      </c>
      <c r="C91" s="5">
        <v>1</v>
      </c>
      <c r="D91" s="6" t="s">
        <v>10</v>
      </c>
      <c r="E91" s="6">
        <v>1028.1400000000001</v>
      </c>
      <c r="H91" s="5">
        <v>15</v>
      </c>
      <c r="I91" s="5" t="s">
        <v>9</v>
      </c>
      <c r="J91" s="5">
        <v>512</v>
      </c>
      <c r="K91" s="6" t="s">
        <v>10</v>
      </c>
      <c r="L91" s="6">
        <v>19.353000000000002</v>
      </c>
      <c r="O91" s="5">
        <v>15</v>
      </c>
      <c r="P91" s="5" t="s">
        <v>9</v>
      </c>
      <c r="Q91" s="5">
        <v>1024</v>
      </c>
      <c r="R91" s="6" t="s">
        <v>10</v>
      </c>
      <c r="S91" s="6">
        <v>18.318999999999999</v>
      </c>
    </row>
    <row r="92" spans="1:19">
      <c r="A92" s="3">
        <v>16</v>
      </c>
      <c r="B92" s="3" t="s">
        <v>5</v>
      </c>
      <c r="C92" s="3">
        <v>1</v>
      </c>
      <c r="D92" s="4" t="s">
        <v>6</v>
      </c>
      <c r="E92" s="4">
        <v>1E-3</v>
      </c>
      <c r="H92" s="3">
        <v>16</v>
      </c>
      <c r="I92" s="3" t="s">
        <v>5</v>
      </c>
      <c r="J92" s="3">
        <v>512</v>
      </c>
      <c r="K92" s="4" t="s">
        <v>6</v>
      </c>
      <c r="L92" s="4">
        <v>1E-3</v>
      </c>
      <c r="O92" s="3">
        <v>16</v>
      </c>
      <c r="P92" s="3" t="s">
        <v>5</v>
      </c>
      <c r="Q92" s="3">
        <v>1024</v>
      </c>
      <c r="R92" s="4" t="s">
        <v>6</v>
      </c>
      <c r="S92" s="4">
        <v>1E-3</v>
      </c>
    </row>
    <row r="93" spans="1:19">
      <c r="A93" s="3">
        <v>16</v>
      </c>
      <c r="B93" s="3" t="s">
        <v>8</v>
      </c>
      <c r="C93" s="3">
        <v>1</v>
      </c>
      <c r="D93" s="4" t="s">
        <v>6</v>
      </c>
      <c r="E93" s="4">
        <v>4.5220000000000002</v>
      </c>
      <c r="H93" s="3">
        <v>16</v>
      </c>
      <c r="I93" s="3" t="s">
        <v>8</v>
      </c>
      <c r="J93" s="3">
        <v>512</v>
      </c>
      <c r="K93" s="4" t="s">
        <v>6</v>
      </c>
      <c r="L93" s="4">
        <v>0.47799999999999998</v>
      </c>
      <c r="O93" s="3">
        <v>16</v>
      </c>
      <c r="P93" s="3" t="s">
        <v>8</v>
      </c>
      <c r="Q93" s="3">
        <v>1024</v>
      </c>
      <c r="R93" s="4" t="s">
        <v>6</v>
      </c>
      <c r="S93" s="4">
        <v>0.52100000000000002</v>
      </c>
    </row>
    <row r="94" spans="1:19">
      <c r="A94" s="3">
        <v>16</v>
      </c>
      <c r="B94" s="3" t="s">
        <v>9</v>
      </c>
      <c r="C94" s="3">
        <v>1</v>
      </c>
      <c r="D94" s="4" t="s">
        <v>6</v>
      </c>
      <c r="E94" s="4">
        <v>52.618000000000002</v>
      </c>
      <c r="H94" s="3">
        <v>16</v>
      </c>
      <c r="I94" s="3" t="s">
        <v>9</v>
      </c>
      <c r="J94" s="3">
        <v>512</v>
      </c>
      <c r="K94" s="4" t="s">
        <v>6</v>
      </c>
      <c r="L94" s="4">
        <v>18.254999999999999</v>
      </c>
      <c r="O94" s="3">
        <v>16</v>
      </c>
      <c r="P94" s="3" t="s">
        <v>9</v>
      </c>
      <c r="Q94" s="3">
        <v>1024</v>
      </c>
      <c r="R94" s="4" t="s">
        <v>6</v>
      </c>
      <c r="S94" s="4">
        <v>17.846</v>
      </c>
    </row>
    <row r="95" spans="1:19">
      <c r="A95" s="5">
        <v>16</v>
      </c>
      <c r="B95" s="5" t="s">
        <v>5</v>
      </c>
      <c r="C95" s="5">
        <v>1</v>
      </c>
      <c r="D95" s="6" t="s">
        <v>10</v>
      </c>
      <c r="E95" s="7">
        <v>1E-3</v>
      </c>
      <c r="H95" s="5">
        <v>16</v>
      </c>
      <c r="I95" s="5" t="s">
        <v>5</v>
      </c>
      <c r="J95" s="5">
        <v>512</v>
      </c>
      <c r="K95" s="6" t="s">
        <v>10</v>
      </c>
      <c r="L95" s="7">
        <v>1E-3</v>
      </c>
      <c r="O95" s="5">
        <v>16</v>
      </c>
      <c r="P95" s="5" t="s">
        <v>5</v>
      </c>
      <c r="Q95" s="5">
        <v>1024</v>
      </c>
      <c r="R95" s="6" t="s">
        <v>10</v>
      </c>
      <c r="S95" s="7">
        <v>1E-3</v>
      </c>
    </row>
    <row r="96" spans="1:19">
      <c r="A96" s="5">
        <v>16</v>
      </c>
      <c r="B96" s="5" t="s">
        <v>8</v>
      </c>
      <c r="C96" s="5">
        <v>1</v>
      </c>
      <c r="D96" s="6" t="s">
        <v>10</v>
      </c>
      <c r="E96" s="6">
        <v>100.66</v>
      </c>
      <c r="H96" s="5">
        <v>16</v>
      </c>
      <c r="I96" s="5" t="s">
        <v>8</v>
      </c>
      <c r="J96" s="5">
        <v>512</v>
      </c>
      <c r="K96" s="6" t="s">
        <v>10</v>
      </c>
      <c r="L96" s="6">
        <v>0.57999999999999996</v>
      </c>
      <c r="O96" s="5">
        <v>16</v>
      </c>
      <c r="P96" s="5" t="s">
        <v>8</v>
      </c>
      <c r="Q96" s="5">
        <v>1024</v>
      </c>
      <c r="R96" s="6" t="s">
        <v>10</v>
      </c>
      <c r="S96" s="6">
        <v>0.48299999999999998</v>
      </c>
    </row>
    <row r="97" spans="1:19">
      <c r="A97" s="5">
        <v>16</v>
      </c>
      <c r="B97" s="5" t="s">
        <v>9</v>
      </c>
      <c r="C97" s="5">
        <v>1</v>
      </c>
      <c r="D97" s="6" t="s">
        <v>10</v>
      </c>
      <c r="E97" s="6">
        <v>1022.141</v>
      </c>
      <c r="H97" s="5">
        <v>16</v>
      </c>
      <c r="I97" s="5" t="s">
        <v>9</v>
      </c>
      <c r="J97" s="5">
        <v>512</v>
      </c>
      <c r="K97" s="6" t="s">
        <v>10</v>
      </c>
      <c r="L97" s="6">
        <v>22.67</v>
      </c>
      <c r="O97" s="5">
        <v>16</v>
      </c>
      <c r="P97" s="5" t="s">
        <v>9</v>
      </c>
      <c r="Q97" s="5">
        <v>1024</v>
      </c>
      <c r="R97" s="6" t="s">
        <v>10</v>
      </c>
      <c r="S97" s="6">
        <v>18.343</v>
      </c>
    </row>
    <row r="98" spans="1:19">
      <c r="A98" s="3">
        <v>17</v>
      </c>
      <c r="B98" s="3" t="s">
        <v>5</v>
      </c>
      <c r="C98" s="3">
        <v>1</v>
      </c>
      <c r="D98" s="4" t="s">
        <v>6</v>
      </c>
      <c r="E98" s="4">
        <v>2E-3</v>
      </c>
      <c r="H98" s="3">
        <v>17</v>
      </c>
      <c r="I98" s="3" t="s">
        <v>5</v>
      </c>
      <c r="J98" s="3">
        <v>512</v>
      </c>
      <c r="K98" s="4" t="s">
        <v>6</v>
      </c>
      <c r="L98" s="4">
        <v>1E-3</v>
      </c>
      <c r="O98" s="3">
        <v>17</v>
      </c>
      <c r="P98" s="3" t="s">
        <v>5</v>
      </c>
      <c r="Q98" s="3">
        <v>1024</v>
      </c>
      <c r="R98" s="4" t="s">
        <v>6</v>
      </c>
      <c r="S98" s="4">
        <v>1E-3</v>
      </c>
    </row>
    <row r="99" spans="1:19">
      <c r="A99" s="3">
        <v>17</v>
      </c>
      <c r="B99" s="3" t="s">
        <v>8</v>
      </c>
      <c r="C99" s="3">
        <v>1</v>
      </c>
      <c r="D99" s="4" t="s">
        <v>6</v>
      </c>
      <c r="E99" s="4">
        <v>4.476</v>
      </c>
      <c r="H99" s="3">
        <v>17</v>
      </c>
      <c r="I99" s="3" t="s">
        <v>8</v>
      </c>
      <c r="J99" s="3">
        <v>512</v>
      </c>
      <c r="K99" s="4" t="s">
        <v>6</v>
      </c>
      <c r="L99" s="4">
        <v>0.54500000000000004</v>
      </c>
      <c r="O99" s="3">
        <v>17</v>
      </c>
      <c r="P99" s="3" t="s">
        <v>8</v>
      </c>
      <c r="Q99" s="3">
        <v>1024</v>
      </c>
      <c r="R99" s="4" t="s">
        <v>6</v>
      </c>
      <c r="S99" s="4">
        <v>0.60299999999999998</v>
      </c>
    </row>
    <row r="100" spans="1:19">
      <c r="A100" s="3">
        <v>17</v>
      </c>
      <c r="B100" s="3" t="s">
        <v>9</v>
      </c>
      <c r="C100" s="3">
        <v>1</v>
      </c>
      <c r="D100" s="4" t="s">
        <v>6</v>
      </c>
      <c r="E100" s="4">
        <v>53.375999999999998</v>
      </c>
      <c r="H100" s="3">
        <v>17</v>
      </c>
      <c r="I100" s="3" t="s">
        <v>9</v>
      </c>
      <c r="J100" s="3">
        <v>512</v>
      </c>
      <c r="K100" s="4" t="s">
        <v>6</v>
      </c>
      <c r="L100" s="4">
        <v>18.396000000000001</v>
      </c>
      <c r="O100" s="3">
        <v>17</v>
      </c>
      <c r="P100" s="3" t="s">
        <v>9</v>
      </c>
      <c r="Q100" s="3">
        <v>1024</v>
      </c>
      <c r="R100" s="4" t="s">
        <v>6</v>
      </c>
      <c r="S100" s="4">
        <v>18.526</v>
      </c>
    </row>
    <row r="101" spans="1:19">
      <c r="A101" s="5">
        <v>17</v>
      </c>
      <c r="B101" s="5" t="s">
        <v>5</v>
      </c>
      <c r="C101" s="5">
        <v>1</v>
      </c>
      <c r="D101" s="6" t="s">
        <v>10</v>
      </c>
      <c r="E101" s="7">
        <v>1E-3</v>
      </c>
      <c r="H101" s="5">
        <v>17</v>
      </c>
      <c r="I101" s="5" t="s">
        <v>5</v>
      </c>
      <c r="J101" s="5">
        <v>512</v>
      </c>
      <c r="K101" s="6" t="s">
        <v>10</v>
      </c>
      <c r="L101" s="7">
        <v>1E-3</v>
      </c>
      <c r="O101" s="5">
        <v>17</v>
      </c>
      <c r="P101" s="5" t="s">
        <v>5</v>
      </c>
      <c r="Q101" s="5">
        <v>1024</v>
      </c>
      <c r="R101" s="6" t="s">
        <v>10</v>
      </c>
      <c r="S101" s="7">
        <v>3.0000000000000001E-3</v>
      </c>
    </row>
    <row r="102" spans="1:19">
      <c r="A102" s="5">
        <v>17</v>
      </c>
      <c r="B102" s="5" t="s">
        <v>8</v>
      </c>
      <c r="C102" s="5">
        <v>1</v>
      </c>
      <c r="D102" s="6" t="s">
        <v>10</v>
      </c>
      <c r="E102" s="6">
        <v>101.93</v>
      </c>
      <c r="H102" s="5">
        <v>17</v>
      </c>
      <c r="I102" s="5" t="s">
        <v>8</v>
      </c>
      <c r="J102" s="5">
        <v>512</v>
      </c>
      <c r="K102" s="6" t="s">
        <v>10</v>
      </c>
      <c r="L102" s="6">
        <v>0.57299999999999995</v>
      </c>
      <c r="O102" s="5">
        <v>17</v>
      </c>
      <c r="P102" s="5" t="s">
        <v>8</v>
      </c>
      <c r="Q102" s="5">
        <v>1024</v>
      </c>
      <c r="R102" s="6" t="s">
        <v>10</v>
      </c>
      <c r="S102" s="6">
        <v>0.48599999999999999</v>
      </c>
    </row>
    <row r="103" spans="1:19">
      <c r="A103" s="5">
        <v>17</v>
      </c>
      <c r="B103" s="5" t="s">
        <v>9</v>
      </c>
      <c r="C103" s="5">
        <v>1</v>
      </c>
      <c r="D103" s="6" t="s">
        <v>10</v>
      </c>
      <c r="E103" s="6">
        <v>1022.615</v>
      </c>
      <c r="H103" s="5">
        <v>17</v>
      </c>
      <c r="I103" s="5" t="s">
        <v>9</v>
      </c>
      <c r="J103" s="5">
        <v>512</v>
      </c>
      <c r="K103" s="6" t="s">
        <v>10</v>
      </c>
      <c r="L103" s="6">
        <v>24.815000000000001</v>
      </c>
      <c r="O103" s="5">
        <v>17</v>
      </c>
      <c r="P103" s="5" t="s">
        <v>9</v>
      </c>
      <c r="Q103" s="5">
        <v>1024</v>
      </c>
      <c r="R103" s="6" t="s">
        <v>10</v>
      </c>
      <c r="S103" s="6">
        <v>18.489000000000001</v>
      </c>
    </row>
    <row r="104" spans="1:19">
      <c r="A104" s="3">
        <v>18</v>
      </c>
      <c r="B104" s="3" t="s">
        <v>5</v>
      </c>
      <c r="C104" s="3">
        <v>1</v>
      </c>
      <c r="D104" s="4" t="s">
        <v>6</v>
      </c>
      <c r="E104" s="4">
        <v>1E-3</v>
      </c>
      <c r="H104" s="3">
        <v>18</v>
      </c>
      <c r="I104" s="3" t="s">
        <v>5</v>
      </c>
      <c r="J104" s="3">
        <v>512</v>
      </c>
      <c r="K104" s="4" t="s">
        <v>6</v>
      </c>
      <c r="L104" s="4">
        <v>1E-3</v>
      </c>
      <c r="O104" s="3">
        <v>18</v>
      </c>
      <c r="P104" s="3" t="s">
        <v>5</v>
      </c>
      <c r="Q104" s="3">
        <v>1024</v>
      </c>
      <c r="R104" s="4" t="s">
        <v>6</v>
      </c>
      <c r="S104" s="4">
        <v>1E-3</v>
      </c>
    </row>
    <row r="105" spans="1:19">
      <c r="A105" s="3">
        <v>18</v>
      </c>
      <c r="B105" s="3" t="s">
        <v>8</v>
      </c>
      <c r="C105" s="3">
        <v>1</v>
      </c>
      <c r="D105" s="4" t="s">
        <v>6</v>
      </c>
      <c r="E105" s="4">
        <v>4.5030000000000001</v>
      </c>
      <c r="H105" s="3">
        <v>18</v>
      </c>
      <c r="I105" s="3" t="s">
        <v>8</v>
      </c>
      <c r="J105" s="3">
        <v>512</v>
      </c>
      <c r="K105" s="4" t="s">
        <v>6</v>
      </c>
      <c r="L105" s="4">
        <v>0.47299999999999998</v>
      </c>
      <c r="O105" s="3">
        <v>18</v>
      </c>
      <c r="P105" s="3" t="s">
        <v>8</v>
      </c>
      <c r="Q105" s="3">
        <v>1024</v>
      </c>
      <c r="R105" s="4" t="s">
        <v>6</v>
      </c>
      <c r="S105" s="4">
        <v>0.47899999999999998</v>
      </c>
    </row>
    <row r="106" spans="1:19">
      <c r="A106" s="3">
        <v>18</v>
      </c>
      <c r="B106" s="3" t="s">
        <v>9</v>
      </c>
      <c r="C106" s="3">
        <v>1</v>
      </c>
      <c r="D106" s="4" t="s">
        <v>6</v>
      </c>
      <c r="E106" s="4">
        <v>50.712000000000003</v>
      </c>
      <c r="H106" s="3">
        <v>18</v>
      </c>
      <c r="I106" s="3" t="s">
        <v>9</v>
      </c>
      <c r="J106" s="3">
        <v>512</v>
      </c>
      <c r="K106" s="4" t="s">
        <v>6</v>
      </c>
      <c r="L106" s="4">
        <v>17.901</v>
      </c>
      <c r="O106" s="3">
        <v>18</v>
      </c>
      <c r="P106" s="3" t="s">
        <v>9</v>
      </c>
      <c r="Q106" s="3">
        <v>1024</v>
      </c>
      <c r="R106" s="4" t="s">
        <v>6</v>
      </c>
      <c r="S106" s="4">
        <v>17.952000000000002</v>
      </c>
    </row>
    <row r="107" spans="1:19">
      <c r="A107" s="5">
        <v>18</v>
      </c>
      <c r="B107" s="5" t="s">
        <v>5</v>
      </c>
      <c r="C107" s="5">
        <v>1</v>
      </c>
      <c r="D107" s="6" t="s">
        <v>10</v>
      </c>
      <c r="E107" s="7">
        <v>1E-3</v>
      </c>
      <c r="H107" s="5">
        <v>18</v>
      </c>
      <c r="I107" s="5" t="s">
        <v>5</v>
      </c>
      <c r="J107" s="5">
        <v>512</v>
      </c>
      <c r="K107" s="6" t="s">
        <v>10</v>
      </c>
      <c r="L107" s="7">
        <v>6.0000000000000001E-3</v>
      </c>
      <c r="O107" s="5">
        <v>18</v>
      </c>
      <c r="P107" s="5" t="s">
        <v>5</v>
      </c>
      <c r="Q107" s="5">
        <v>1024</v>
      </c>
      <c r="R107" s="6" t="s">
        <v>10</v>
      </c>
      <c r="S107" s="7">
        <v>1E-3</v>
      </c>
    </row>
    <row r="108" spans="1:19">
      <c r="A108" s="5">
        <v>18</v>
      </c>
      <c r="B108" s="5" t="s">
        <v>8</v>
      </c>
      <c r="C108" s="5">
        <v>1</v>
      </c>
      <c r="D108" s="6" t="s">
        <v>10</v>
      </c>
      <c r="E108" s="6">
        <v>101.742</v>
      </c>
      <c r="H108" s="5">
        <v>18</v>
      </c>
      <c r="I108" s="5" t="s">
        <v>8</v>
      </c>
      <c r="J108" s="5">
        <v>512</v>
      </c>
      <c r="K108" s="6" t="s">
        <v>10</v>
      </c>
      <c r="L108" s="6">
        <v>0.58499999999999996</v>
      </c>
      <c r="O108" s="5">
        <v>18</v>
      </c>
      <c r="P108" s="5" t="s">
        <v>8</v>
      </c>
      <c r="Q108" s="5">
        <v>1024</v>
      </c>
      <c r="R108" s="6" t="s">
        <v>10</v>
      </c>
      <c r="S108" s="6">
        <v>0.46300000000000002</v>
      </c>
    </row>
    <row r="109" spans="1:19">
      <c r="A109" s="5">
        <v>18</v>
      </c>
      <c r="B109" s="5" t="s">
        <v>9</v>
      </c>
      <c r="C109" s="5">
        <v>1</v>
      </c>
      <c r="D109" s="6" t="s">
        <v>10</v>
      </c>
      <c r="E109" s="6">
        <v>1008.681</v>
      </c>
      <c r="H109" s="5">
        <v>18</v>
      </c>
      <c r="I109" s="5" t="s">
        <v>9</v>
      </c>
      <c r="J109" s="5">
        <v>512</v>
      </c>
      <c r="K109" s="6" t="s">
        <v>10</v>
      </c>
      <c r="L109" s="6">
        <v>18.754000000000001</v>
      </c>
      <c r="O109" s="5">
        <v>18</v>
      </c>
      <c r="P109" s="5" t="s">
        <v>9</v>
      </c>
      <c r="Q109" s="5">
        <v>1024</v>
      </c>
      <c r="R109" s="6" t="s">
        <v>10</v>
      </c>
      <c r="S109" s="6">
        <v>18.245999999999999</v>
      </c>
    </row>
    <row r="110" spans="1:19">
      <c r="A110" s="3">
        <v>19</v>
      </c>
      <c r="B110" s="3" t="s">
        <v>5</v>
      </c>
      <c r="C110" s="3">
        <v>1</v>
      </c>
      <c r="D110" s="4" t="s">
        <v>6</v>
      </c>
      <c r="E110" s="4">
        <v>2E-3</v>
      </c>
      <c r="H110" s="3">
        <v>19</v>
      </c>
      <c r="I110" s="3" t="s">
        <v>5</v>
      </c>
      <c r="J110" s="3">
        <v>512</v>
      </c>
      <c r="K110" s="4" t="s">
        <v>6</v>
      </c>
      <c r="L110" s="4">
        <v>2E-3</v>
      </c>
      <c r="O110" s="3">
        <v>19</v>
      </c>
      <c r="P110" s="3" t="s">
        <v>5</v>
      </c>
      <c r="Q110" s="3">
        <v>1024</v>
      </c>
      <c r="R110" s="4" t="s">
        <v>6</v>
      </c>
      <c r="S110" s="4">
        <v>1E-3</v>
      </c>
    </row>
    <row r="111" spans="1:19">
      <c r="A111" s="3">
        <v>19</v>
      </c>
      <c r="B111" s="3" t="s">
        <v>8</v>
      </c>
      <c r="C111" s="3">
        <v>1</v>
      </c>
      <c r="D111" s="4" t="s">
        <v>6</v>
      </c>
      <c r="E111" s="4">
        <v>4.5019999999999998</v>
      </c>
      <c r="H111" s="3">
        <v>19</v>
      </c>
      <c r="I111" s="3" t="s">
        <v>8</v>
      </c>
      <c r="J111" s="3">
        <v>512</v>
      </c>
      <c r="K111" s="4" t="s">
        <v>6</v>
      </c>
      <c r="L111" s="4">
        <v>0.51100000000000001</v>
      </c>
      <c r="O111" s="3">
        <v>19</v>
      </c>
      <c r="P111" s="3" t="s">
        <v>8</v>
      </c>
      <c r="Q111" s="3">
        <v>1024</v>
      </c>
      <c r="R111" s="4" t="s">
        <v>6</v>
      </c>
      <c r="S111" s="4">
        <v>0.55300000000000005</v>
      </c>
    </row>
    <row r="112" spans="1:19">
      <c r="A112" s="3">
        <v>19</v>
      </c>
      <c r="B112" s="3" t="s">
        <v>9</v>
      </c>
      <c r="C112" s="3">
        <v>1</v>
      </c>
      <c r="D112" s="4" t="s">
        <v>6</v>
      </c>
      <c r="E112" s="4">
        <v>52.82</v>
      </c>
      <c r="H112" s="3">
        <v>19</v>
      </c>
      <c r="I112" s="3" t="s">
        <v>9</v>
      </c>
      <c r="J112" s="3">
        <v>512</v>
      </c>
      <c r="K112" s="4" t="s">
        <v>6</v>
      </c>
      <c r="L112" s="4">
        <v>18.448</v>
      </c>
      <c r="O112" s="3">
        <v>19</v>
      </c>
      <c r="P112" s="3" t="s">
        <v>9</v>
      </c>
      <c r="Q112" s="3">
        <v>1024</v>
      </c>
      <c r="R112" s="4" t="s">
        <v>6</v>
      </c>
      <c r="S112" s="4">
        <v>18.498000000000001</v>
      </c>
    </row>
    <row r="113" spans="1:19">
      <c r="A113" s="5">
        <v>19</v>
      </c>
      <c r="B113" s="5" t="s">
        <v>5</v>
      </c>
      <c r="C113" s="5">
        <v>1</v>
      </c>
      <c r="D113" s="6" t="s">
        <v>10</v>
      </c>
      <c r="E113" s="7">
        <v>1E-3</v>
      </c>
      <c r="H113" s="5">
        <v>19</v>
      </c>
      <c r="I113" s="5" t="s">
        <v>5</v>
      </c>
      <c r="J113" s="5">
        <v>512</v>
      </c>
      <c r="K113" s="6" t="s">
        <v>10</v>
      </c>
      <c r="L113" s="7">
        <v>2E-3</v>
      </c>
      <c r="O113" s="5">
        <v>19</v>
      </c>
      <c r="P113" s="5" t="s">
        <v>5</v>
      </c>
      <c r="Q113" s="5">
        <v>1024</v>
      </c>
      <c r="R113" s="6" t="s">
        <v>10</v>
      </c>
      <c r="S113" s="7">
        <v>6.0000000000000001E-3</v>
      </c>
    </row>
    <row r="114" spans="1:19">
      <c r="A114" s="5">
        <v>19</v>
      </c>
      <c r="B114" s="5" t="s">
        <v>8</v>
      </c>
      <c r="C114" s="5">
        <v>1</v>
      </c>
      <c r="D114" s="6" t="s">
        <v>10</v>
      </c>
      <c r="E114" s="6">
        <v>101.38800000000001</v>
      </c>
      <c r="H114" s="5">
        <v>19</v>
      </c>
      <c r="I114" s="5" t="s">
        <v>8</v>
      </c>
      <c r="J114" s="5">
        <v>512</v>
      </c>
      <c r="K114" s="6" t="s">
        <v>10</v>
      </c>
      <c r="L114" s="6">
        <v>0.59099999999999997</v>
      </c>
      <c r="O114" s="5">
        <v>19</v>
      </c>
      <c r="P114" s="5" t="s">
        <v>8</v>
      </c>
      <c r="Q114" s="5">
        <v>1024</v>
      </c>
      <c r="R114" s="6" t="s">
        <v>10</v>
      </c>
      <c r="S114" s="6">
        <v>0.48699999999999999</v>
      </c>
    </row>
    <row r="115" spans="1:19">
      <c r="A115" s="5">
        <v>19</v>
      </c>
      <c r="B115" s="5" t="s">
        <v>9</v>
      </c>
      <c r="C115" s="5">
        <v>1</v>
      </c>
      <c r="D115" s="6" t="s">
        <v>10</v>
      </c>
      <c r="E115" s="6">
        <v>1019.622</v>
      </c>
      <c r="H115" s="5">
        <v>19</v>
      </c>
      <c r="I115" s="5" t="s">
        <v>9</v>
      </c>
      <c r="J115" s="5">
        <v>512</v>
      </c>
      <c r="K115" s="6" t="s">
        <v>10</v>
      </c>
      <c r="L115" s="6">
        <v>19.303999999999998</v>
      </c>
      <c r="O115" s="5">
        <v>19</v>
      </c>
      <c r="P115" s="5" t="s">
        <v>9</v>
      </c>
      <c r="Q115" s="5">
        <v>1024</v>
      </c>
      <c r="R115" s="6" t="s">
        <v>10</v>
      </c>
      <c r="S115" s="6">
        <v>17.643000000000001</v>
      </c>
    </row>
    <row r="116" spans="1:19">
      <c r="A116" s="3">
        <v>20</v>
      </c>
      <c r="B116" s="3" t="s">
        <v>5</v>
      </c>
      <c r="C116" s="3">
        <v>1</v>
      </c>
      <c r="D116" s="4" t="s">
        <v>6</v>
      </c>
      <c r="E116" s="4">
        <v>1E-3</v>
      </c>
      <c r="H116" s="3">
        <v>20</v>
      </c>
      <c r="I116" s="3" t="s">
        <v>5</v>
      </c>
      <c r="J116" s="3">
        <v>512</v>
      </c>
      <c r="K116" s="4" t="s">
        <v>6</v>
      </c>
      <c r="L116" s="4">
        <v>1E-3</v>
      </c>
      <c r="O116" s="3">
        <v>20</v>
      </c>
      <c r="P116" s="3" t="s">
        <v>5</v>
      </c>
      <c r="Q116" s="3">
        <v>1024</v>
      </c>
      <c r="R116" s="4" t="s">
        <v>6</v>
      </c>
      <c r="S116" s="9">
        <v>5.0000000000000001E-3</v>
      </c>
    </row>
    <row r="117" spans="1:19">
      <c r="A117" s="3">
        <v>20</v>
      </c>
      <c r="B117" s="3" t="s">
        <v>8</v>
      </c>
      <c r="C117" s="3">
        <v>1</v>
      </c>
      <c r="D117" s="4" t="s">
        <v>6</v>
      </c>
      <c r="E117" s="4">
        <v>4.5339999999999998</v>
      </c>
      <c r="H117" s="3">
        <v>20</v>
      </c>
      <c r="I117" s="3" t="s">
        <v>8</v>
      </c>
      <c r="J117" s="3">
        <v>512</v>
      </c>
      <c r="K117" s="4" t="s">
        <v>6</v>
      </c>
      <c r="L117" s="4">
        <v>0.55400000000000005</v>
      </c>
      <c r="O117" s="3">
        <v>20</v>
      </c>
      <c r="P117" s="3" t="s">
        <v>8</v>
      </c>
      <c r="Q117" s="3">
        <v>1024</v>
      </c>
      <c r="R117" s="4" t="s">
        <v>6</v>
      </c>
      <c r="S117" s="4">
        <v>0.48799999999999999</v>
      </c>
    </row>
    <row r="118" spans="1:19">
      <c r="A118" s="3">
        <v>20</v>
      </c>
      <c r="B118" s="3" t="s">
        <v>9</v>
      </c>
      <c r="C118" s="3">
        <v>1</v>
      </c>
      <c r="D118" s="4" t="s">
        <v>6</v>
      </c>
      <c r="E118" s="4">
        <v>52.313000000000002</v>
      </c>
      <c r="H118" s="3">
        <v>20</v>
      </c>
      <c r="I118" s="3" t="s">
        <v>9</v>
      </c>
      <c r="J118" s="3">
        <v>512</v>
      </c>
      <c r="K118" s="4" t="s">
        <v>6</v>
      </c>
      <c r="L118" s="4">
        <v>18.445</v>
      </c>
      <c r="O118" s="3">
        <v>20</v>
      </c>
      <c r="P118" s="3" t="s">
        <v>9</v>
      </c>
      <c r="Q118" s="3">
        <v>1024</v>
      </c>
      <c r="R118" s="4" t="s">
        <v>6</v>
      </c>
      <c r="S118" s="4">
        <v>18.370999999999999</v>
      </c>
    </row>
    <row r="119" spans="1:19">
      <c r="A119" s="5">
        <v>20</v>
      </c>
      <c r="B119" s="5" t="s">
        <v>5</v>
      </c>
      <c r="C119" s="5">
        <v>1</v>
      </c>
      <c r="D119" s="6" t="s">
        <v>10</v>
      </c>
      <c r="E119" s="7">
        <v>1E-3</v>
      </c>
      <c r="H119" s="5">
        <v>20</v>
      </c>
      <c r="I119" s="5" t="s">
        <v>5</v>
      </c>
      <c r="J119" s="5">
        <v>512</v>
      </c>
      <c r="K119" s="6" t="s">
        <v>10</v>
      </c>
      <c r="L119" s="7">
        <v>2E-3</v>
      </c>
      <c r="O119" s="5">
        <v>20</v>
      </c>
      <c r="P119" s="5" t="s">
        <v>5</v>
      </c>
      <c r="Q119" s="5">
        <v>1024</v>
      </c>
      <c r="R119" s="6" t="s">
        <v>10</v>
      </c>
      <c r="S119" s="7">
        <v>1E-3</v>
      </c>
    </row>
    <row r="120" spans="1:19">
      <c r="A120" s="5">
        <v>20</v>
      </c>
      <c r="B120" s="5" t="s">
        <v>8</v>
      </c>
      <c r="C120" s="5">
        <v>1</v>
      </c>
      <c r="D120" s="6" t="s">
        <v>10</v>
      </c>
      <c r="E120" s="6">
        <v>101.083</v>
      </c>
      <c r="H120" s="5">
        <v>20</v>
      </c>
      <c r="I120" s="5" t="s">
        <v>8</v>
      </c>
      <c r="J120" s="5">
        <v>512</v>
      </c>
      <c r="K120" s="6" t="s">
        <v>10</v>
      </c>
      <c r="L120" s="6">
        <v>0.58299999999999996</v>
      </c>
      <c r="O120" s="5">
        <v>20</v>
      </c>
      <c r="P120" s="5" t="s">
        <v>8</v>
      </c>
      <c r="Q120" s="5">
        <v>1024</v>
      </c>
      <c r="R120" s="6" t="s">
        <v>10</v>
      </c>
      <c r="S120" s="6">
        <v>0.47899999999999998</v>
      </c>
    </row>
    <row r="121" spans="1:19">
      <c r="A121" s="5">
        <v>20</v>
      </c>
      <c r="B121" s="5" t="s">
        <v>9</v>
      </c>
      <c r="C121" s="5">
        <v>1</v>
      </c>
      <c r="D121" s="6" t="s">
        <v>10</v>
      </c>
      <c r="E121" s="6">
        <v>1012.725</v>
      </c>
      <c r="H121" s="5">
        <v>20</v>
      </c>
      <c r="I121" s="5" t="s">
        <v>9</v>
      </c>
      <c r="J121" s="5">
        <v>512</v>
      </c>
      <c r="K121" s="6" t="s">
        <v>10</v>
      </c>
      <c r="L121" s="6">
        <v>19.501000000000001</v>
      </c>
      <c r="O121" s="5">
        <v>20</v>
      </c>
      <c r="P121" s="5" t="s">
        <v>9</v>
      </c>
      <c r="Q121" s="5">
        <v>1024</v>
      </c>
      <c r="R121" s="6" t="s">
        <v>10</v>
      </c>
      <c r="S121" s="6">
        <v>18.98</v>
      </c>
    </row>
    <row r="123" spans="1:19">
      <c r="A123" s="1" t="s">
        <v>11</v>
      </c>
      <c r="H123" s="1" t="s">
        <v>11</v>
      </c>
      <c r="O123" s="1" t="s">
        <v>11</v>
      </c>
    </row>
    <row r="124" spans="1:19">
      <c r="A124" s="1" t="s">
        <v>15</v>
      </c>
      <c r="B124" s="1">
        <f>AVERAGE(E2,E8,E14,E20,E26,E32,E38,E44,E50,E56,E62,E68,E74,E86,E92,E98,E104,E110,E116)</f>
        <v>1.2631578947368428E-3</v>
      </c>
      <c r="H124" s="1" t="s">
        <v>16</v>
      </c>
      <c r="I124" s="1">
        <f>AVERAGE(L8,L14,L20,L26,L32,L38,L44,L50,L56,L62,L68,L74,L80,L86,L92,L98,L104,L110,L116)</f>
        <v>1.210526315789474E-3</v>
      </c>
      <c r="O124" s="1" t="s">
        <v>17</v>
      </c>
      <c r="P124" s="1">
        <f>AVERAGE(S8,S14,S20,S26,S32,S38,S44,S50,S56,S62,S68,S74,S80,S86,S92,S98,S104,S110,S2,S119)</f>
        <v>1.3500000000000003E-3</v>
      </c>
    </row>
    <row r="125" spans="1:19">
      <c r="A125" s="1" t="s">
        <v>18</v>
      </c>
      <c r="B125" s="1">
        <f>AVERAGE(E3,E9,E15,E21,E27,E33,E39,E45,E51,E57,E63,E69,E75,E81,E87,E93,E99,E105,E111,E117)</f>
        <v>4.5274000000000001</v>
      </c>
      <c r="H125" s="1" t="s">
        <v>19</v>
      </c>
      <c r="I125" s="1">
        <f>AVERAGE(L9,L15,L21,L27,L33,L39,L45,L51,L57,L63,L69,L75,L81,L87,L93,L99,L105,L111, L117)</f>
        <v>0.50663157894736843</v>
      </c>
      <c r="O125" s="1" t="s">
        <v>20</v>
      </c>
      <c r="P125" s="1">
        <f>AVERAGE(S9,S15,S21,S27,S33,S39,S45,S51,S57,S63,S69,S75,S81,S87,S93,S99,S105,S111,S117)</f>
        <v>0.52231578947368418</v>
      </c>
    </row>
    <row r="126" spans="1:19">
      <c r="A126" s="1" t="s">
        <v>21</v>
      </c>
      <c r="B126" s="1">
        <f>AVERAGE(E4,E10,E16,E22,E28,E34,E40,E46,E52,E58,E64,E70,E76,E82,E88,E94,E100,E106,E112,E118)</f>
        <v>52.681400000000011</v>
      </c>
      <c r="H126" s="1" t="s">
        <v>22</v>
      </c>
      <c r="I126" s="1">
        <f>AVERAGE(L4,L10,L16,L22,L28,L34,L40,L46,L52,L58,L64,L70,L76,L82,L88,L94,L100,L106,L112,L118)</f>
        <v>18.322049999999997</v>
      </c>
      <c r="O126" s="1" t="s">
        <v>23</v>
      </c>
      <c r="P126" s="1">
        <f>AVERAGE(S10,S16,S22,S28,S34,S40,S46,S52,S58,S64,S70,S76,S82,S88,S94,S100,S106,S112,S118)</f>
        <v>18.639999999999997</v>
      </c>
    </row>
    <row r="127" spans="1:19">
      <c r="A127" s="1" t="s">
        <v>24</v>
      </c>
      <c r="B127" s="1">
        <f>AVERAGE(E35,E41,E47,E53,E59,E65,E71,E77,E83,E89,E95,E101,E107,E113,E119, E11,E17,E23,E29)</f>
        <v>1.2631578947368426E-3</v>
      </c>
      <c r="H127" s="1" t="s">
        <v>25</v>
      </c>
      <c r="I127" s="1">
        <f>AVERAGE(L5,L11,L17,L23,L29,L35,L41,L53,L59,L65,L47,L71,L77,L83,L89,L95,L101,L107,L113,L119)</f>
        <v>2.2000000000000001E-3</v>
      </c>
      <c r="O127" s="1" t="s">
        <v>26</v>
      </c>
      <c r="P127" s="1">
        <f>AVERAGE(S5,S11,S17,S23,S29,S35,S41,S47,S53,S59,S71,S77,S83,S89,S95,S101,S107,S113,S65,S119)</f>
        <v>2.2000000000000001E-3</v>
      </c>
    </row>
    <row r="128" spans="1:19">
      <c r="A128" s="1" t="s">
        <v>27</v>
      </c>
      <c r="B128" s="1">
        <f>AVERAGE(E6,E12,E18,E24,E30,E36,E42,E48,E54,E60,E66,E72,E84,E90,E96,E102,E108,E114,E120)</f>
        <v>101.1051052631579</v>
      </c>
      <c r="H128" s="1" t="s">
        <v>28</v>
      </c>
      <c r="I128" s="1">
        <f>AVERAGE(L12,L18,L24,L30,L36,L42,L48,L54,L60,L66,L72,L78,L84,L90,L96,L102,L108,L114,L120)</f>
        <v>0.58057894736842097</v>
      </c>
      <c r="O128" s="1" t="s">
        <v>29</v>
      </c>
      <c r="P128" s="1">
        <f>AVERAGE(S12,S18,S24,S30,S36,S42,S48,S54,S60,S66,S72,S78,S84,S90,S96,S102,S108,S114,S120)</f>
        <v>0.48315789473684201</v>
      </c>
    </row>
    <row r="129" spans="1:16">
      <c r="A129" s="1" t="s">
        <v>30</v>
      </c>
      <c r="B129" s="1">
        <f>AVERAGE(E7,E13,E19,E25,E31,E37,E43,E49,E55,E61,E67,E73,E79,E85,E91,E97,E103,E109,E115,E121)</f>
        <v>1014.5387999999999</v>
      </c>
      <c r="H129" s="1" t="s">
        <v>31</v>
      </c>
      <c r="I129" s="1">
        <f>AVERAGE(L7,L13,L19,L25,L31,L37,L43,L49,L55,L61,L67,L73,L79,L85,L91,L97,L103,L109,L115,L121)</f>
        <v>19.698150000000002</v>
      </c>
      <c r="O129" s="1" t="s">
        <v>32</v>
      </c>
      <c r="P129" s="1">
        <f>AVERAGE(S13,S19,S25,S31,S37,S43,S49,S55,S61,S67,S73,S79,S85,S91,S97,S103,S109,S115,S121)</f>
        <v>18.463736842105266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2025-11-03T06:48:07Z</dcterms:created>
  <dcterms:modified xsi:type="dcterms:W3CDTF">2025-11-03T09:44:42Z</dcterms:modified>
  <cp:category/>
  <cp:contentStatus/>
</cp:coreProperties>
</file>